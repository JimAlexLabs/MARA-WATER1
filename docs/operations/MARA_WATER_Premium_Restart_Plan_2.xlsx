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malex/Downloads/"/>
    </mc:Choice>
  </mc:AlternateContent>
  <xr:revisionPtr revIDLastSave="0" documentId="13_ncr:1_{8584A30F-7F4F-EB4D-889B-CC4C23842EAA}" xr6:coauthVersionLast="45" xr6:coauthVersionMax="45" xr10:uidLastSave="{00000000-0000-0000-0000-000000000000}"/>
  <bookViews>
    <workbookView xWindow="0" yWindow="0" windowWidth="28800" windowHeight="18000" tabRatio="500" firstSheet="2" activeTab="8" xr2:uid="{00000000-000D-0000-FFFF-FFFF00000000}"/>
  </bookViews>
  <sheets>
    <sheet name="Read Me" sheetId="1" r:id="rId1"/>
    <sheet name="New Team &amp; Overheads" sheetId="2" r:id="rId2"/>
    <sheet name="Premium-Only Mix vs September" sheetId="3" r:id="rId3"/>
    <sheet name="Starting Stock - Lorry &amp; Profit" sheetId="4" r:id="rId4"/>
    <sheet name="Weekly Restock &amp; Monthly P&amp;L" sheetId="5" r:id="rId5"/>
    <sheet name="Production Capacity - 6 Ladies" sheetId="6" r:id="rId6"/>
    <sheet name="Capital, Cash Flow &amp; Start" sheetId="7" r:id="rId7"/>
    <sheet name="Profit Sharing Model" sheetId="8" r:id="rId8"/>
    <sheet name="Dashboard" sheetId="9" r:id="rId9"/>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36" i="9" l="1"/>
  <c r="C36" i="8"/>
  <c r="C30" i="8"/>
  <c r="C9" i="8"/>
  <c r="D8" i="8" s="1"/>
  <c r="C8" i="7"/>
  <c r="D25" i="6"/>
  <c r="D21" i="6"/>
  <c r="D19" i="6"/>
  <c r="D20" i="6" s="1"/>
  <c r="D26" i="6" s="1"/>
  <c r="C11" i="6"/>
  <c r="E138" i="5"/>
  <c r="D138" i="5"/>
  <c r="D98" i="5"/>
  <c r="E73" i="5"/>
  <c r="C73" i="5"/>
  <c r="E58" i="5"/>
  <c r="E57" i="5"/>
  <c r="D47" i="5"/>
  <c r="D45" i="5"/>
  <c r="C45" i="5"/>
  <c r="D41" i="5"/>
  <c r="D40" i="5"/>
  <c r="D42" i="5" s="1"/>
  <c r="C40" i="5"/>
  <c r="C41" i="5" s="1"/>
  <c r="C42" i="5" s="1"/>
  <c r="E27" i="5"/>
  <c r="C17" i="5"/>
  <c r="C16" i="5"/>
  <c r="C15" i="5"/>
  <c r="C14" i="5"/>
  <c r="C13" i="5"/>
  <c r="F13" i="5" s="1"/>
  <c r="F14" i="5" s="1"/>
  <c r="F15" i="5" s="1"/>
  <c r="F16" i="5" s="1"/>
  <c r="F17" i="5" s="1"/>
  <c r="F12" i="5"/>
  <c r="E12" i="5"/>
  <c r="F46" i="4"/>
  <c r="E46" i="4"/>
  <c r="D100" i="5" s="1"/>
  <c r="D46" i="4"/>
  <c r="C46" i="4"/>
  <c r="F44" i="4"/>
  <c r="E44" i="4"/>
  <c r="E98" i="5" s="1"/>
  <c r="D44" i="4"/>
  <c r="C44" i="4"/>
  <c r="G24" i="4"/>
  <c r="E40" i="4" s="1"/>
  <c r="H21" i="4"/>
  <c r="H20" i="4"/>
  <c r="H19" i="4"/>
  <c r="H22" i="4" s="1"/>
  <c r="H24" i="4" s="1"/>
  <c r="H13" i="4"/>
  <c r="G13" i="4"/>
  <c r="I12" i="4"/>
  <c r="J12" i="4" s="1"/>
  <c r="F12" i="4"/>
  <c r="O12" i="4" s="1"/>
  <c r="I11" i="4"/>
  <c r="J11" i="4" s="1"/>
  <c r="F11" i="4"/>
  <c r="O11" i="4" s="1"/>
  <c r="I10" i="4"/>
  <c r="J10" i="4" s="1"/>
  <c r="F10" i="4"/>
  <c r="O10" i="4" s="1"/>
  <c r="I9" i="4"/>
  <c r="J9" i="4" s="1"/>
  <c r="F9" i="4"/>
  <c r="O9" i="4" s="1"/>
  <c r="I8" i="4"/>
  <c r="J8" i="4" s="1"/>
  <c r="F8" i="4"/>
  <c r="O8" i="4" s="1"/>
  <c r="I7" i="4"/>
  <c r="J7" i="4" s="1"/>
  <c r="F7" i="4"/>
  <c r="O7" i="4" s="1"/>
  <c r="I6" i="4"/>
  <c r="I13" i="4" s="1"/>
  <c r="J13" i="4" s="1"/>
  <c r="F6" i="4"/>
  <c r="O6" i="4" s="1"/>
  <c r="I23" i="3"/>
  <c r="I28" i="3" s="1"/>
  <c r="F26" i="4" s="1"/>
  <c r="F27" i="4" s="1"/>
  <c r="D30" i="6" s="1"/>
  <c r="H23" i="3"/>
  <c r="H28" i="3" s="1"/>
  <c r="I21" i="3"/>
  <c r="H21" i="3"/>
  <c r="I20" i="3"/>
  <c r="H20" i="3"/>
  <c r="I19" i="3"/>
  <c r="H19" i="3"/>
  <c r="I18" i="3"/>
  <c r="H18" i="3"/>
  <c r="I17" i="3"/>
  <c r="H17" i="3"/>
  <c r="I16" i="3"/>
  <c r="H16" i="3"/>
  <c r="I15" i="3"/>
  <c r="H15" i="3"/>
  <c r="I14" i="3"/>
  <c r="H14" i="3"/>
  <c r="I13" i="3"/>
  <c r="H13" i="3"/>
  <c r="I12" i="3"/>
  <c r="H12" i="3"/>
  <c r="I11" i="3"/>
  <c r="H11" i="3"/>
  <c r="I10" i="3"/>
  <c r="H10" i="3"/>
  <c r="I9" i="3"/>
  <c r="H9" i="3"/>
  <c r="I8" i="3"/>
  <c r="H8" i="3"/>
  <c r="I7" i="3"/>
  <c r="H7" i="3"/>
  <c r="I6" i="3"/>
  <c r="I22" i="3" s="1"/>
  <c r="H6" i="3"/>
  <c r="H22" i="3" s="1"/>
  <c r="E22" i="2"/>
  <c r="C35" i="9" s="1"/>
  <c r="E10" i="2"/>
  <c r="E9" i="2"/>
  <c r="E8" i="2"/>
  <c r="E7" i="2"/>
  <c r="E11" i="2" s="1"/>
  <c r="D95" i="5" l="1"/>
  <c r="E95" i="5"/>
  <c r="S9" i="4"/>
  <c r="I24" i="4"/>
  <c r="J24" i="4" s="1"/>
  <c r="F39" i="4"/>
  <c r="F41" i="4" s="1"/>
  <c r="D39" i="4"/>
  <c r="D41" i="4" s="1"/>
  <c r="E39" i="4"/>
  <c r="C39" i="4"/>
  <c r="C41" i="4" s="1"/>
  <c r="E69" i="5"/>
  <c r="O13" i="4"/>
  <c r="C34" i="9"/>
  <c r="E24" i="2"/>
  <c r="F13" i="4"/>
  <c r="H24" i="3"/>
  <c r="P6" i="4"/>
  <c r="P13" i="4" s="1"/>
  <c r="P7" i="4"/>
  <c r="S7" i="4" s="1"/>
  <c r="P8" i="4"/>
  <c r="S8" i="4" s="1"/>
  <c r="P9" i="4"/>
  <c r="P10" i="4"/>
  <c r="S10" i="4" s="1"/>
  <c r="P11" i="4"/>
  <c r="S11" i="4" s="1"/>
  <c r="P12" i="4"/>
  <c r="S12" i="4" s="1"/>
  <c r="F40" i="4"/>
  <c r="H25" i="3"/>
  <c r="Q6" i="4"/>
  <c r="Q7" i="4"/>
  <c r="Q8" i="4"/>
  <c r="Q9" i="4"/>
  <c r="Q10" i="4"/>
  <c r="Q11" i="4"/>
  <c r="Q12" i="4"/>
  <c r="D7" i="8"/>
  <c r="R6" i="4"/>
  <c r="R7" i="4"/>
  <c r="R8" i="4"/>
  <c r="R9" i="4"/>
  <c r="R10" i="4"/>
  <c r="R11" i="4"/>
  <c r="R12" i="4"/>
  <c r="E13" i="5"/>
  <c r="E14" i="5" s="1"/>
  <c r="E15" i="5" s="1"/>
  <c r="E16" i="5" s="1"/>
  <c r="E17" i="5" s="1"/>
  <c r="C40" i="4"/>
  <c r="J6" i="4"/>
  <c r="D40" i="4"/>
  <c r="C12" i="7"/>
  <c r="C14" i="7" s="1"/>
  <c r="C15" i="7" s="1"/>
  <c r="K7" i="9" s="1"/>
  <c r="C42" i="4" l="1"/>
  <c r="C43" i="4"/>
  <c r="E41" i="4"/>
  <c r="E94" i="5"/>
  <c r="D94" i="5"/>
  <c r="D28" i="6"/>
  <c r="D29" i="6" s="1"/>
  <c r="E30" i="5" s="1"/>
  <c r="F24" i="4"/>
  <c r="E7" i="9"/>
  <c r="D74" i="5"/>
  <c r="D75" i="5" s="1"/>
  <c r="C74" i="5"/>
  <c r="C75" i="5" s="1"/>
  <c r="F45" i="4"/>
  <c r="E40" i="2"/>
  <c r="C44" i="5"/>
  <c r="C46" i="5" s="1"/>
  <c r="C13" i="8" s="1"/>
  <c r="D45" i="4"/>
  <c r="E45" i="4"/>
  <c r="F74" i="5"/>
  <c r="F75" i="5" s="1"/>
  <c r="C45" i="4"/>
  <c r="E74" i="5"/>
  <c r="E75" i="5" s="1"/>
  <c r="D44" i="5"/>
  <c r="D46" i="5" s="1"/>
  <c r="D42" i="4"/>
  <c r="D43" i="4"/>
  <c r="S6" i="4"/>
  <c r="S13" i="4" s="1"/>
  <c r="F42" i="4"/>
  <c r="F43" i="4" s="1"/>
  <c r="R13" i="4"/>
  <c r="Q13" i="4"/>
  <c r="F47" i="4" l="1"/>
  <c r="F49" i="4"/>
  <c r="D49" i="4"/>
  <c r="D47" i="4"/>
  <c r="E93" i="5"/>
  <c r="D93" i="5"/>
  <c r="C14" i="8"/>
  <c r="C33" i="8" s="1"/>
  <c r="E42" i="4"/>
  <c r="E96" i="5"/>
  <c r="D96" i="5"/>
  <c r="E43" i="4"/>
  <c r="F78" i="5"/>
  <c r="F76" i="5"/>
  <c r="F77" i="5" s="1"/>
  <c r="D99" i="5"/>
  <c r="E99" i="5"/>
  <c r="C78" i="5"/>
  <c r="C76" i="5"/>
  <c r="C77" i="5" s="1"/>
  <c r="C49" i="4"/>
  <c r="C47" i="4"/>
  <c r="E78" i="5"/>
  <c r="E76" i="5"/>
  <c r="E77" i="5" s="1"/>
  <c r="D78" i="5"/>
  <c r="D76" i="5"/>
  <c r="D77" i="5" s="1"/>
  <c r="H7" i="9" s="1"/>
  <c r="C53" i="9" l="1"/>
  <c r="D79" i="5"/>
  <c r="C15" i="8"/>
  <c r="C54" i="9"/>
  <c r="E79" i="5"/>
  <c r="C55" i="9"/>
  <c r="F79" i="5"/>
  <c r="E49" i="4"/>
  <c r="E47" i="4"/>
  <c r="D101" i="5" s="1"/>
  <c r="C52" i="9"/>
  <c r="C79" i="5"/>
  <c r="E97" i="5"/>
  <c r="D97" i="5"/>
  <c r="C35" i="8" l="1"/>
  <c r="C38" i="8" s="1"/>
  <c r="C34" i="8"/>
  <c r="C37" i="8" s="1"/>
  <c r="C135" i="5"/>
  <c r="B7" i="9"/>
  <c r="E101" i="5"/>
  <c r="C137" i="5"/>
  <c r="C136" i="5"/>
</calcChain>
</file>

<file path=xl/sharedStrings.xml><?xml version="1.0" encoding="utf-8"?>
<sst xmlns="http://schemas.openxmlformats.org/spreadsheetml/2006/main" count="426" uniqueCount="364">
  <si>
    <t>MARA WATER: Premium-Only Restart Plan (KDQ), Oct 10 2026</t>
  </si>
  <si>
    <t>New workbook, built fresh from your latest instructions. This is not an edit of the old Reopening Plan file. It replaces its payroll, overheads, product mix, and restocking model with the ones below.</t>
  </si>
  <si>
    <t>What changed from the old plan</t>
  </si>
  <si>
    <t>Salaries: driver 20,000 / sales 20,000 / accountant-manager 25,000 / 6 production ladies at 10,000 each = 60,000. Payroll totals 125,000/month.</t>
  </si>
  <si>
    <t>Overheads: fuel 35,000 / electricity 10,000 / plumbing &amp; repairs 6,000 / airtime 4,000 / miscellaneous 2,000 / parking &amp; county fees 3,000 / printing-labels-stickers 6,000 (cut from 25,000 now that bottle labels are costed per bottle inside COGS, see point below). Overheads total 66,000/month.</t>
  </si>
  <si>
    <t>Jimal's operational stipend: 80,000/month by default, separate from hired payroll, paid before any profit is shared with Diana. A 65,000 alternative is modelled side by side throughout (New Team &amp; Overheads, Starting Stock Section E, Weekly Restock Section F, and the Dashboard); it saves 15,000/month but is a small lever next to restock frequency.</t>
  </si>
  <si>
    <t>Total cash cost before profit share: 271,000/month at the 80,000 stipend, 256,000/month at the 65,000 stipend (125,000 payroll + 66,000 overheads + stipend). Transport is NOT in this figure; it is charged per trip, separately, since every order is a full lorry.</t>
  </si>
  <si>
    <t>Cost of production is now costed per bottle, by SKU: bottle/preform, label, seal and wrapper are each broken out and tabulated directly against COGS on the Starting Stock tab, using your exact per-bottle costings, not folded into a single guessed materials figure.</t>
  </si>
  <si>
    <t>Product mix: fully Premium, no Platinum, no Grace Resort. Custom Premium only, kept small. Refills continue since they carry no bottle cost.</t>
  </si>
  <si>
    <t>Ordering rule: every order, always, is one full lorry, 160,430 KES materials plus 45,000 transport, 205,430 total. Never a partial or scaled order.</t>
  </si>
  <si>
    <t>Target cadence: reorder once a week, full capacity each time, to ramp from one lorry up to a standing 800,000+ stock floor, funded by rolling sales cash rather than needing that much capital upfront. That is why the plan starts with just one lorry.</t>
  </si>
  <si>
    <t>Starting capital: 300,000 total: Jimal 200,000, Diana 100,000.</t>
  </si>
  <si>
    <t>Profit sharing: company retains 25% of net monthly profit; the remaining 75% is divided between Jimal and Diana. Jimal holds full operational control and decision-making; Diana is a minority, capital-only investor.</t>
  </si>
  <si>
    <t>The two biggest findings in this workbook</t>
  </si>
  <si>
    <t>Restock frequency is the single biggest lever on profit, bigger than any cost cut. Ordering a full lorry only twice a month is a real loss at both stipend levels; three times a month is a solid profit; four times a month is materially better again but outpaces what 6 production ladies can currently process. See Starting Stock, Section E, for the full 1x/2x/3x/4x comparison, VAT and refill profit included.</t>
  </si>
  <si>
    <t>Weekly full-lorry reordering, as you've committed to as the longer-term cadence, requires sales to run at about 1.76x September's proven pace for each lorry to sell through in a week. At September's actual proven pace, one lorry takes about 10-11 days to sell out and 6 production ladies need about 15-16 days to process one, both slower than weekly. That does not mean weekly is wrong, it means weekly is a growth target the sales and production side both need to grow into, not something already proven. See the Weekly Restock tab for the full side-by-side numbers.</t>
  </si>
  <si>
    <t>Fixed costs, overheads and Jimal's stipend are deducted ONCE, at month end, not weekly. A thin or negative week on the weekly tracker is not itself a crisis; the number to watch is whether stock is actually selling through fast enough to justify buying the next lorry.</t>
  </si>
  <si>
    <t>How the tabs fit together</t>
  </si>
  <si>
    <t>1. New Team &amp; Overheads: payroll, overheads and Jimal's stipend (80,000 vs 65,000 compared), laid out as a monthly cost sheet.</t>
  </si>
  <si>
    <t>2. Premium-Only Mix vs September: what September 2025 actually sold, split into what you're keeping (Premium + small Custom Premium + Refills) and what you're dropping (Platinum, Grace, Custom Platinum), so the baseline is honest about how much revenue the SKU cut gives up.</t>
  </si>
  <si>
    <t>3. Starting Stock, Lorry &amp; Profit: the first 160,000 lorry order broken down by SKU, with quantities, bottles, per-bottle cost of production (bottle, label, seal, wrapper) tabulated against COGS, and projected revenue and profit; plus Section E, the corrected 1x/2x/3x/4x-a-month restock comparison.</t>
  </si>
  <si>
    <t>4. Weekly Restock &amp; Monthly P&amp;L: the full-lorry-every-week model, a 6-week cash and stock tracker, the reality check against proven demand, the month-end P&amp;L, the path to the 800,000 floor, the daily sales target for 300,000/500,000 profit (Section F), what the books look like at month-end and what to cut cost on (Section G), and a 200,000-loan repayment scenario (Section H).</t>
  </si>
  <si>
    <t>5. Production Capacity, 6 Ladies: what your named production team actually produced per worker-day in September, and whether 6 dedicated ladies can keep up with this plan.</t>
  </si>
  <si>
    <t>6. Capital, Cash Flow &amp; Oct 10 Start: the 300,000 capital split, what the first lorry and transport actually cost against it, and a dated plan from October 10.</t>
  </si>
  <si>
    <t>7. Profit Sharing Model: capital contributions, the 25%/75% waterfall, three ways to split the 75% between Jimal and Diana, and a worked example.</t>
  </si>
  <si>
    <t>8. Dashboard: KPI tiles and charts (net profit by restock frequency, fixed cost breakdown, daily sales targets), all linked live back to the tabs above.</t>
  </si>
  <si>
    <t>Notes on the numbers</t>
  </si>
  <si>
    <t>September 2025 is used as the demand baseline throughout, the same real data already validated in your Investment Case and Reopening Plan workbooks. All quantities assume materials, staff and machines are fully available, same as your Q4 2026 projection.</t>
  </si>
  <si>
    <t>Blue text = input you can change. Black = formula. Green text = link to another tab in this workbook. Yellow fill = key assumption or headline result. Amber fill = a secondary or stretch scenario.</t>
  </si>
  <si>
    <t>New team &amp; overheads: monthly cost</t>
  </si>
  <si>
    <t>Every figure below is exactly what you specified. Blue = your input; edit these if a cost changes and everything downstream recalculates.</t>
  </si>
  <si>
    <t>A. PAYROLL</t>
  </si>
  <si>
    <t>Role</t>
  </si>
  <si>
    <t>People</t>
  </si>
  <si>
    <t>Pay each (KES)</t>
  </si>
  <si>
    <t>Monthly total (KES)</t>
  </si>
  <si>
    <t>Driver</t>
  </si>
  <si>
    <t>Sales person</t>
  </si>
  <si>
    <t>Accountant / manager</t>
  </si>
  <si>
    <t>Production ladies</t>
  </si>
  <si>
    <t>PAYROLL TOTAL</t>
  </si>
  <si>
    <t>B. MONTHLY OVERHEADS</t>
  </si>
  <si>
    <t>Item</t>
  </si>
  <si>
    <t>Monthly cost (KES)</t>
  </si>
  <si>
    <t>Fuel</t>
  </si>
  <si>
    <t>Electricity</t>
  </si>
  <si>
    <t>Plumbing &amp; repairs</t>
  </si>
  <si>
    <t>Airtime</t>
  </si>
  <si>
    <t>Miscellaneous</t>
  </si>
  <si>
    <t>Parking &amp; county fees</t>
  </si>
  <si>
    <t>Printing / labels / stickers (signage, invoices; bottle labels now costed per-bottle in COGS)</t>
  </si>
  <si>
    <t>OVERHEADS TOTAL</t>
  </si>
  <si>
    <t>TOTAL FIXED MONTHLY COST (payroll + overheads)</t>
  </si>
  <si>
    <t>This total excludes transport (Nairobi to Rongo). Transport is charged per trip, not monthly, so it is modelled separately on the Restock Cadence tab where the trip count actually changes the answer.</t>
  </si>
  <si>
    <t>C. TRANSPORT (per trip, not monthly)</t>
  </si>
  <si>
    <t>Nairobi to Rongo, per trip</t>
  </si>
  <si>
    <t>Full lorry load of bottles/materials</t>
  </si>
  <si>
    <t>D. JIMAL'S OPERATIONAL STIPEND (pre-profit-share, not hired payroll)</t>
  </si>
  <si>
    <t>Jimal, on-ground operational manager, monthly stipend</t>
  </si>
  <si>
    <t>This is separate from the hired-staff payroll in Section A. It is Jimal's own compensation for relocating to Rongo and running day-to-day operations full time, deducted from company cash before any profit is shared with Diana, exactly like a cost of running the business. See the Profit Sharing Model tab for how it fits into the full waterfall.</t>
  </si>
  <si>
    <t>65,000 vs 80,000: dropping to 65,000 saves 15,000/month straight to net profit and moves the restock-frequency breakeven point slightly earlier (see the Starting Stock tab, Section E, for both figures side by side at every restock frequency, and the Weekly Restock tab, Section F, for how it moves the 300,000/500,000 profit targets). It is a real lever, but a small one next to restock frequency itself, which swings profit by well over 100,000/month. Keep 80,000 if it is what Jimal actually needs to live on while relocating; cut to 65,000 only if the household budget allows it, not primarily to fix the business's numbers.</t>
  </si>
  <si>
    <t>TOTAL CASH COST BEFORE PROFIT SHARE (payroll + overheads + stipend)</t>
  </si>
  <si>
    <t>Premium-only mix vs September 2025 (what you keep, what you drop)</t>
  </si>
  <si>
    <t>September 2025 actual KDQ sales, all 16 SKUs, split by the new decision: fully Premium, no Platinum, no Grace, Custom Premium kept small. Green rows = kept in the new plan. Red rows = dropped.</t>
  </si>
  <si>
    <t>SKU</t>
  </si>
  <si>
    <t>Sold as</t>
  </si>
  <si>
    <t>Sept qty
(bales/units)</t>
  </si>
  <si>
    <t>Pack size</t>
  </si>
  <si>
    <t>Cost/bottle
(KES)</t>
  </si>
  <si>
    <t>Price/unit
(KES)</t>
  </si>
  <si>
    <t>Sept revenue
(KES)</t>
  </si>
  <si>
    <t>Sept materials
cost (KES)</t>
  </si>
  <si>
    <t>Kept in new plan?</t>
  </si>
  <si>
    <t>Premium 500ml</t>
  </si>
  <si>
    <t>Bale</t>
  </si>
  <si>
    <t>KEPT</t>
  </si>
  <si>
    <t>Premium 1L</t>
  </si>
  <si>
    <t>Premium 1.5L</t>
  </si>
  <si>
    <t>Premium 5L</t>
  </si>
  <si>
    <t>Unit</t>
  </si>
  <si>
    <t>Premium 10L</t>
  </si>
  <si>
    <t>Premium 20L</t>
  </si>
  <si>
    <t>Platinum 500ml</t>
  </si>
  <si>
    <t>DROPPED</t>
  </si>
  <si>
    <t>Platinum 1L</t>
  </si>
  <si>
    <t>Refill 5L</t>
  </si>
  <si>
    <t>Refill 10L</t>
  </si>
  <si>
    <t>Refill 20L</t>
  </si>
  <si>
    <t>Custom 0.5L Prem</t>
  </si>
  <si>
    <t>Custom 0.5L Plat</t>
  </si>
  <si>
    <t>Custom 1L Plat</t>
  </si>
  <si>
    <t>Grace 500ml</t>
  </si>
  <si>
    <t>Grace 1L</t>
  </si>
  <si>
    <t>TOTAL: all 16 SKUs (Sept actual)</t>
  </si>
  <si>
    <t>KEPT MIX TOTAL (new plan)</t>
  </si>
  <si>
    <t>Kept-mix gross margin %</t>
  </si>
  <si>
    <t>Kept mix as % of Sept total revenue</t>
  </si>
  <si>
    <t>September active selling days (out of 30)</t>
  </si>
  <si>
    <t>Kept-mix daily pace: revenue / materials cost per active day</t>
  </si>
  <si>
    <t>Custom 0.5L Platinum and Custom 1L Platinum are dropped along with the rest of the Platinum line. Their September price above is back-solved (institutional pricing factor 0.7784x the standard Platinum bale price) purely so this table's totals reconcile to actual September revenue; it plays no role in the new plan since these SKUs are discontinued.</t>
  </si>
  <si>
    <t>Starting stock: the first 160,000 lorry, broken down by SKU</t>
  </si>
  <si>
    <t>Your 160,000 materials budget allocated across the kept SKUs by their share of September's kept-mix demand. Biggest sellers get the biggest share, Custom Premium stays deliberately small. Sold-out timing and per-SKU profit both come from real September pricing. Columns K onward break that materials cost down into its real components, from your Water_costings source.</t>
  </si>
  <si>
    <t>Share of
Sept demand</t>
  </si>
  <si>
    <t>Order qty
(bales/units)</t>
  </si>
  <si>
    <t>Bottles</t>
  </si>
  <si>
    <t>Materials
cost (KES)</t>
  </si>
  <si>
    <t>Projected
revenue (KES)</t>
  </si>
  <si>
    <t>Projected
profit (KES)</t>
  </si>
  <si>
    <t>Profit
margin</t>
  </si>
  <si>
    <t>Bottle/preform
(KES/bottle)</t>
  </si>
  <si>
    <t>Label
(KES/bottle)</t>
  </si>
  <si>
    <t>Seal
(KES/bottle)</t>
  </si>
  <si>
    <t>Wrapper
(KES/bottle)</t>
  </si>
  <si>
    <t>Bottle/preform,
this order (KES)</t>
  </si>
  <si>
    <t>Label,
this order (KES)</t>
  </si>
  <si>
    <t>Seal,
this order (KES)</t>
  </si>
  <si>
    <t>Wrapper,
this order (KES)</t>
  </si>
  <si>
    <t>Components
total check (KES)</t>
  </si>
  <si>
    <t>Bale (24pcs)</t>
  </si>
  <si>
    <t>Bale (12pcs)</t>
  </si>
  <si>
    <t>SUBTOTAL: cost-bearing SKUs</t>
  </si>
  <si>
    <t>Columns K to N are per-bottle component rates from your Water_costings source (bottle/preform, label, seal/bailing paper, wrapper/bale-wrap). Columns O to R multiply each by this order's bottle count, so they tie directly to the Materials cost in column G; column S is a reconciliation check and should equal column G on every row (small rounding only). 10L and 20L carry no wrapper cost since they are sold as single units, not baled.</t>
  </si>
  <si>
    <t>Refills carried alongside this lorry (customer's own container, zero bottle cost)</t>
  </si>
  <si>
    <t>Est. units
(lorry window)</t>
  </si>
  <si>
    <t>REFILLS TOTAL</t>
  </si>
  <si>
    <t>GRAND TOTAL: this lorry's stock, fully sold</t>
  </si>
  <si>
    <t>How long this lorry lasts at September's kept-mix daily pace</t>
  </si>
  <si>
    <t>KES materials cost/day</t>
  </si>
  <si>
    <t>Lorry duration</t>
  </si>
  <si>
    <t>selling days</t>
  </si>
  <si>
    <t>Order quantities are rounded up to whole bales/units, so the subtotal lands slightly above 160,000 (163k) rather than under. Better a few extra bales than running short mid-cycle. Premium 500ml and 1.5L together are about 84% of this order because they are September's proven volume drivers; Custom Premium is capped small on purpose, exactly as you asked.</t>
  </si>
  <si>
    <t>E. WHAT IF WE RESTOCK 1, 2, 3 OR 4 TIMES A MONTH (a full lorry every time)</t>
  </si>
  <si>
    <t>This corrects and replaces the draft you added in this area. Two things were missing there: VAT was not deducted, and the refill profit (pure profit, no bottle cost) was left out. Both are included below, and every column is a full lorry (never a partial order), scaled by how many times a month you send the truck.</t>
  </si>
  <si>
    <t>Measure</t>
  </si>
  <si>
    <t>1 order/month</t>
  </si>
  <si>
    <t>2 restocks/month</t>
  </si>
  <si>
    <t>3 restocks/month</t>
  </si>
  <si>
    <t>4 restocks/month</t>
  </si>
  <si>
    <t>Revenue (N full lorries)</t>
  </si>
  <si>
    <t>Materials cost (N full lorries)</t>
  </si>
  <si>
    <t>Gross trading margin</t>
  </si>
  <si>
    <t>Net VAT payable (margin x 0.16/1.16)</t>
  </si>
  <si>
    <t>Gross profit after VAT</t>
  </si>
  <si>
    <t>Transport (45,000 per restock)</t>
  </si>
  <si>
    <t>Fixed costs (payroll + overheads), from Team &amp; Overheads</t>
  </si>
  <si>
    <t>Jimal's stipend at 80,000</t>
  </si>
  <si>
    <t>NET PROFIT at 80,000 stipend</t>
  </si>
  <si>
    <t>Jimal's stipend at 65,000 (alternative)</t>
  </si>
  <si>
    <t>NET PROFIT at 65,000 stipend</t>
  </si>
  <si>
    <t>Breakeven sits between 2 and 3 restocks a month at either stipend level (about 2.05 lorries/month at 65,000, about 2.17 at 80,000). Two restocks a month is a real loss at both stipend levels; three is a solid profit; four is materially better again, but four lorries a month needs sales at roughly 1.76x September's proven pace and outpaces what 6 production ladies can currently process (see the Production Capacity and Weekly Restock tabs). Treat 3 restocks/month as the realistic near-term target and 4 as the growth goal once sales and staffing catch up.</t>
  </si>
  <si>
    <t>Weekly restock model: full lorry every week, toward the 800,000 floor</t>
  </si>
  <si>
    <t>Your committed model: never a partial order, always a full lorry, reordered weekly, funding the ramp from one lorry to a standing 800,000+ stock floor. Fixed costs, your stipend and VAT are deducted once, at month end, never weekly.</t>
  </si>
  <si>
    <t>A. THE RULE</t>
  </si>
  <si>
    <t>Every order, always, is one full lorry: 160,430 KES of materials plus the 45,000 transport fee, 205,430 total. No partial or scaled orders. Target cadence is once a week. Payroll, overheads and your stipend (298,190 combined once VAT-adjusted profit is known) are a single deduction at month end, not a weekly cost, so a thin week is not itself a crisis; the health check that matters is whether stock is actually selling through fast enough to justify buying the next one.</t>
  </si>
  <si>
    <t>B. WEEKLY CYCLE TRACKER, first 6 weeks (starting capital 300,000)</t>
  </si>
  <si>
    <t>Week</t>
  </si>
  <si>
    <t>Lorry outlay
(KES)</t>
  </si>
  <si>
    <t>This week's sales
at proven Sept pace</t>
  </si>
  <si>
    <t>Cumulative stock
bought (KES)</t>
  </si>
  <si>
    <t>Running cash
position (KES)</t>
  </si>
  <si>
    <t>Week 1</t>
  </si>
  <si>
    <t>Week 2</t>
  </si>
  <si>
    <t>Week 3</t>
  </si>
  <si>
    <t>Week 4</t>
  </si>
  <si>
    <t>Week 5</t>
  </si>
  <si>
    <t>Week 6</t>
  </si>
  <si>
    <t>Cash stays roughly stable week to week (each lorry costs slightly more than a week of proven-pace sales brings in, about a 2,300 KES/week gap) because the starting capital absorbs the difference. The real constraint is not cash running out, it is that ordering a full lorry every week outpaces what September's proven sales pace can actually sell through in a week, so unsold stock accumulates in the warehouse. That accumulation is exactly how you build toward the 800,000 floor, but it means month 1's accounting profit looks thinner than the cash position suggests, see Section D.</t>
  </si>
  <si>
    <t>C. REALITY CHECK: WHAT WEEKLY FULL-LORRY ORDERS REQUIRE</t>
  </si>
  <si>
    <t>Value</t>
  </si>
  <si>
    <t>One lorry, full sellthrough, projected revenue</t>
  </si>
  <si>
    <t>Proven Sept pace, revenue per 6-operating-day week</t>
  </si>
  <si>
    <t>Sales pace needed vs proven, to sell a full lorry every week</t>
  </si>
  <si>
    <t>Lorry sellout time at proven pace (days)</t>
  </si>
  <si>
    <t>6 ladies' time to process a full lorry (days, from Production Capacity tab)</t>
  </si>
  <si>
    <t>176% of proven pace is what weekly full-lorry sellthrough actually requires, and production (about 15.5 days to process one lorry) is slower still. Ordering weekly from week one assumes both sales and production scale up substantially beyond what has been demonstrated. That is a fine target to plan toward, but it should be an explicit growth goal, not a silent assumption baked into the P&amp;L.</t>
  </si>
  <si>
    <t>D. MONTHLY P&amp;L, TWO SCENARIOS</t>
  </si>
  <si>
    <t>Line item</t>
  </si>
  <si>
    <t>Target: sales scale to
match weekly full lorries</t>
  </si>
  <si>
    <t>Reality check: proven
Sept pace, ordered weekly</t>
  </si>
  <si>
    <t>Revenue</t>
  </si>
  <si>
    <t>Materials cost of goods SOLD</t>
  </si>
  <si>
    <t>Transport (4.33 lorries/trips this month)</t>
  </si>
  <si>
    <t>Fixed costs (payroll + overheads), paid once at month end</t>
  </si>
  <si>
    <t>Jimal's operational stipend, paid once at month end</t>
  </si>
  <si>
    <t>NET COMPANY PROFIT (pre profit-share)</t>
  </si>
  <si>
    <t>Unsold stock accumulating in warehouse this month (cost basis)</t>
  </si>
  <si>
    <t>The target column is what the plan needs to become true: sales growing to about 1.76x September's proven pace so every lorry sells through in a week. The reality-check column holds sales at September's actual proven pace while still paying for a lorry every week: revenue and cost of GOODS SOLD only reflect what proven demand actually moves, so materials paid for but not yet sold do not appear as an expense, they sit in the warehouse as inventory (an asset, shown on the row below). That is why the reality-check net profit can look thin or negative in the early weeks even though real cash is not disappearing, it is converting into stock on the shelf, which is the whole point of building toward the 800,000 floor. Once sales catch up to the stock on hand, the accounting profit catches up too.</t>
  </si>
  <si>
    <t>E. PATH TO THE 800,000 STOCK FLOOR</t>
  </si>
  <si>
    <t>Target standing stock floor (KES, materials basis)</t>
  </si>
  <si>
    <t>Lorries needed to reach the floor (materials basis, 160,430 each)</t>
  </si>
  <si>
    <t>Weeks to reach the floor, ordering one full lorry every week</t>
  </si>
  <si>
    <t>About 5 weekly lorry orders (roughly one calendar month at this cadence) puts 800,000+ of Premium-mix stock into rotation. From that point on, the goal shifts from building the floor to maintaining it: reordering only as fast as stock actually sells, which by then should be much closer to weekly if the sales side of the plan has scaled alongside the stock side. Track the Restock Cadence logic against real sell-through data each month rather than committing to weekly by calendar date alone.</t>
  </si>
  <si>
    <t>F. DAILY SALES TARGET AND MINIMUM MONTHLY ORDER, TO CLEAR 300,000 OR 500,000 NET PROFIT</t>
  </si>
  <si>
    <t>Working backwards from a profit target to what has to sell. Each column below asks: after paying for materials, VAT, transport, fixed costs and Jimal's stipend, what monthly revenue, how many full lorries, and what daily sales pace leaves this much net profit in the bank? All figures already have VAT, salaries and every expense on the New Team &amp; Overheads tab subtracted, exactly as asked.</t>
  </si>
  <si>
    <t>Net contribution per 1 KES of revenue, after materials, VAT and transport (this SKU mix)</t>
  </si>
  <si>
    <t>300k profit
@ 80,000 stipend</t>
  </si>
  <si>
    <t>300k profit
@ 65,000 stipend</t>
  </si>
  <si>
    <t>500k profit
@ 80,000 stipend</t>
  </si>
  <si>
    <t>500k profit
@ 65,000 stipend</t>
  </si>
  <si>
    <t>Target net monthly profit (input)</t>
  </si>
  <si>
    <t>Jimal's stipend assumed</t>
  </si>
  <si>
    <t>Fixed costs (payroll + overheads)</t>
  </si>
  <si>
    <t>REQUIRED MONTHLY REVENUE</t>
  </si>
  <si>
    <t>Equivalent full lorries per month</t>
  </si>
  <si>
    <t>MINIMUM FULL-LORRY RESTOCK ORDERS NEEDED THAT MONTH</t>
  </si>
  <si>
    <t>Required daily sales revenue (26 operating days)</t>
  </si>
  <si>
    <t>vs September's proven daily pace (33,854 KES/day)</t>
  </si>
  <si>
    <t>Neither target is close to today's proven pace. 300,000 net profit needs about 4.5-4.6 full lorries a month (5 restock orders, since orders are always whole lorries), roughly 1.85x September's proven daily sales. 500,000 needs about 6.0-6.2 lorries a month (7 restock orders), roughly 2.5x September's pace. Both also sail past what 6 production ladies can currently process (about 1.7 lorries/month at today's throughput, see the Production Capacity tab) and past 3 restocks/month, the realistic near-term target from Section E. Treat 300,000 as a genuine stretch goal for once sales and a larger production team are both proven at a higher pace, and 500,000 as a longer-horizon goal, not a near-term plan. The 65,000-stipend columns need only slightly less revenue than the 80,000 columns, about 43,000 KES/month less required revenue, confirming again that the stipend is a minor lever next to restock frequency.</t>
  </si>
  <si>
    <t>G. WHAT THE BOOKS LOOK LIKE AT MONTH-END, AND WHAT TO CUT COSTS ON</t>
  </si>
  <si>
    <t>Snapshot of a realistic month, using 3 restock orders (the realistic near-term target from Section E) at both stipend levels, pulled directly from the Starting Stock tab so it always matches the restock-frequency table.</t>
  </si>
  <si>
    <t>Line item (month-end books, 3 restock orders)</t>
  </si>
  <si>
    <t>At 80,000 stipend</t>
  </si>
  <si>
    <t>At 65,000 stipend</t>
  </si>
  <si>
    <t>Number of full-lorry restock orders placed this month</t>
  </si>
  <si>
    <t>Bottles ordered this month (3 full lorries)</t>
  </si>
  <si>
    <t>Revenue booked (3 full lorries, sold through)</t>
  </si>
  <si>
    <t>Materials cost of goods sold</t>
  </si>
  <si>
    <t>Net VAT payable</t>
  </si>
  <si>
    <t>Transport, 3 trips at 45,000</t>
  </si>
  <si>
    <t>Fixed payroll + overheads</t>
  </si>
  <si>
    <t>Jimal's stipend</t>
  </si>
  <si>
    <t>NET PROFIT booked this month-end</t>
  </si>
  <si>
    <t>What to cut cost on, in order of real impact</t>
  </si>
  <si>
    <t>1. Restock frequency, by far the biggest lever.</t>
  </si>
  <si>
    <t>Moving from 2 to 3 restocks a month swings net profit by roughly 125,000-150,000 KES, more than every other lever on this page combined. If cash is tight, protect the third restock before cutting anything else.</t>
  </si>
  <si>
    <t>2. Printing/labels/stickers, already cut.</t>
  </si>
  <si>
    <t>Cut from 25,000 to 6,000/month in this plan because bottle labels are now costed per bottle inside COGS above; the 6,000 left is just signage, invoices and odd printing. Do not cut further, there is little fat left here.</t>
  </si>
  <si>
    <t>3. Jimal's stipend, a real but small lever.</t>
  </si>
  <si>
    <t>80,000 to 65,000 saves 15,000/month straight to net profit, worth about 43,000 KES less required revenue toward the 300k/500k targets in Section F. Worth doing only if the household budget allows it; it will not by itself fix a loss-making restock pace.</t>
  </si>
  <si>
    <t>4. Electricity, held at 10,000, not cut further.</t>
  </si>
  <si>
    <t>Kept at the figure already in the New Team &amp; Overheads tab. Production (fill, cap, seal, wrap) is not a heavy power draw at this scale, so there is little room to cut here without risking downtime.</t>
  </si>
  <si>
    <t>5. Transport, fixed at 45,000/trip, hard to shrink.</t>
  </si>
  <si>
    <t>The lever here is fewer, fuller trips, not a cheaper rate: never send a partial lorry, and where possible cluster restocks rather than spacing them awkwardly, since each trip costs the same 45,000 regardless of load.</t>
  </si>
  <si>
    <t>6. Payroll, do not cut.</t>
  </si>
  <si>
    <t>6 production ladies are already the binding constraint on how much stock can move (see Production Capacity tab); cutting headcount would slow throughput further and work against every profit target on this page, not toward it.</t>
  </si>
  <si>
    <t>H. IF A 200,000 LOAN IS TAKEN NOW, REPAYING 250,000 BY DECEMBER</t>
  </si>
  <si>
    <t>This is a scenario laid out from the numbers already on this workbook, not financial or legal advice. A 250,000 repayment on a 200,000 loan is 50,000 in finance cost, about 25% over the roughly 2-3 month window to December; confirm the exact terms and whether a cheaper source of capital exists before committing.</t>
  </si>
  <si>
    <t>Month</t>
  </si>
  <si>
    <t>Projected net profit
(3 restocks, 65k stipend)</t>
  </si>
  <si>
    <t>Option A: equal
installments (KES)</t>
  </si>
  <si>
    <t>Option B: ramped
installments (KES)</t>
  </si>
  <si>
    <t>October</t>
  </si>
  <si>
    <t>November</t>
  </si>
  <si>
    <t>December</t>
  </si>
  <si>
    <t>TOTAL REPAID</t>
  </si>
  <si>
    <t>Option A, equal installments of about 83,333 a month, is the simplest to commit to but is tightest in October, the restart month, when the business is least likely to already be at a 3-restock pace. Option B backloads the schedule (50,000 in October, 90,000 in November, 110,000 in December), asking less while the business is still ramping up in the first weeks after the October 10 restart and more once cash flow is steadier. Both total exactly 250,000. Either option assumes the business is genuinely reaching 3 restocks a month with real net profit in the 100,000-120,000 range (see Section E); if October or November come in at only 1-2 restocks, neither schedule is affordable from trading profit alone, and the loan should not be taken until that pace is proven, or a longer repayment window should be negotiated first.</t>
  </si>
  <si>
    <t>Can 6 production ladies handle this plan?</t>
  </si>
  <si>
    <t>Built from your September 2025 payment schedule: 15 named workers, paid per day worked, attendance ranging 0-12 workers/day. That schedule is a real record of how much this team produced per worker-day, which is what lets us test whether 6 dedicated ladies can keep up.</t>
  </si>
  <si>
    <t>A. WHAT THE SEPTEMBER PAYMENT SCHEDULE SHOWS</t>
  </si>
  <si>
    <t>Named workers on the payment schedule</t>
  </si>
  <si>
    <t>Total worker-days recorded across the month</t>
  </si>
  <si>
    <t>sum of the 'workers present' column</t>
  </si>
  <si>
    <t>Average workers present on an active day</t>
  </si>
  <si>
    <t>ranged 1 on short Saturdays to 12 on the busiest days</t>
  </si>
  <si>
    <t>Total KDQ bottles/units produced &amp; sold that month (all 16 SKUs)</t>
  </si>
  <si>
    <t>from the KDQ Sept 2025 Sales tab</t>
  </si>
  <si>
    <t>Implied throughput: bottles produced per worker-day</t>
  </si>
  <si>
    <t>This blends every task the line does per bottle (wash, fill, cap, seal, label, wrap, pack into bales) across all 16 SKUs that were running in September. It is a real, whole-process rate, not a guess. It is the best available proxy since the payment schedule records days worked and KES paid, not a piece-rate per bale, so this workbook does not invent a per-bale wage figure that wasn't given.</t>
  </si>
  <si>
    <t>B. WHAT 6 DEDICATED LADIES CAN PRODUCE, AT THAT SAME RATE</t>
  </si>
  <si>
    <t>Operating days per month (Sundays off)</t>
  </si>
  <si>
    <t>Worker-days per month (6 ladies)</t>
  </si>
  <si>
    <t>Projected monthly capacity (bottles)</t>
  </si>
  <si>
    <t>Projected weekly capacity (6 ladies x 6 days)</t>
  </si>
  <si>
    <t>C. CAPACITY vs DEMAND</t>
  </si>
  <si>
    <t>Comparison</t>
  </si>
  <si>
    <t>Kept-mix (Premium-only) full-month demand, bottles</t>
  </si>
  <si>
    <t>6 ladies' capacity as % of that demand</t>
  </si>
  <si>
    <t>Lorry stock: bottles needing fill/pack/label</t>
  </si>
  <si>
    <t>Operating days for 6 ladies to process the full lorry</t>
  </si>
  <si>
    <t>Days for the same stock to sell out at Sept's pace</t>
  </si>
  <si>
    <t>Two things point the same direction: 6 dedicated ladies come in at roughly 88% of the full Premium-only demand at September's blended pace, and processing one full lorry's stock takes them about 15-16 operating days, longer than the roughly 10-11 days it takes to sell that same stock. Production, not sales, is the real limit on how often you can restock. This supports the same restock-every-2.5-to-3-weeks recommendation on the Restock Cadence tab, and flags a small headcount or overtime buffer as the thing to watch if October demand runs above September's pace.</t>
  </si>
  <si>
    <t>Starting capital, cash flow &amp; October 10 start</t>
  </si>
  <si>
    <t>300,000 KES capital, split Jimal 200,000 / Diana 100,000. What it buys on day one, what's left as buffer, and the dated plan to get from today to first sale.</t>
  </si>
  <si>
    <t>A. STARTING CAPITAL</t>
  </si>
  <si>
    <t>Jimal's contribution</t>
  </si>
  <si>
    <t>Diana's contribution</t>
  </si>
  <si>
    <t>TOTAL STARTING CAPITAL</t>
  </si>
  <si>
    <t>B. FIRST OUTLAY (before any sales come in)</t>
  </si>
  <si>
    <t>Cost (KES)</t>
  </si>
  <si>
    <t>First lorry load of stock (materials, from Starting Stock tab)</t>
  </si>
  <si>
    <t>Transport, Nairobi to Rongo (1 trip)</t>
  </si>
  <si>
    <t>FIRST OUTLAY TOTAL</t>
  </si>
  <si>
    <t>CASH BUFFER REMAINING before first sales land</t>
  </si>
  <si>
    <t>This buffer covers the first days of payroll and overheads while the lorry's stock is still being filled and sold; it is not meant to sit idle. First-cycle sales (see Starting Stock tab) are projected at roughly 357,500 KES against a 163,000 KES lorry cost, so cash turns positive fast once selling starts.</t>
  </si>
  <si>
    <t>C. DATED PLAN: OPERATIONS START OCTOBER 10, 2026</t>
  </si>
  <si>
    <t>Date / window</t>
  </si>
  <si>
    <t>Action</t>
  </si>
  <si>
    <t>Now - Oct 3</t>
  </si>
  <si>
    <t>Place the first lorry order (163,000 KES materials) with the Nairobi supplier so it ships in time to reach Rongo before Oct 10. Confirm the driver and transport booking (45,000 KES).</t>
  </si>
  <si>
    <t>Now - Oct 7</t>
  </si>
  <si>
    <t>Complete the slight machine repairs flagged in the Warehouse Audit (not full maintenance, just enough to kickstart production). Confirm all 6 production ladies, the driver, sales person and accountant/manager are ready to start Oct 10.</t>
  </si>
  <si>
    <t>Oct 8 - 9</t>
  </si>
  <si>
    <t>Lorry stock arrives in Rongo. Receive, count and store. Brief the team on the Premium-only SKU mix (no Platinum, no Grace, small Custom Premium runs only).</t>
  </si>
  <si>
    <t>Oct 10</t>
  </si>
  <si>
    <t>Production and sales begin. Production ladies start filling/capping/labelling from the lorry stock; sales and driver start distribution same day.</t>
  </si>
  <si>
    <t>Oct 10 - ~20</t>
  </si>
  <si>
    <t>First cycle: sell through the lorry stock (about 10-11 selling days at September's pace). Track daily sales against the Restock Cadence tab so the next order timing is based on real numbers, not the calendar.</t>
  </si>
  <si>
    <t>~Oct 20 - 22</t>
  </si>
  <si>
    <t>Place the second lorry order once cash from cycle 1 has come in, targeting the 2.5-3 week cadence recommended on the Restock Cadence tab rather than ordering weekly.</t>
  </si>
  <si>
    <t>Ongoing</t>
  </si>
  <si>
    <t>Recheck the Production Capacity tab monthly: if 6 ladies fall behind demand, that shows up as unsold gaps or late restocks before it shows up as a cash problem.</t>
  </si>
  <si>
    <t>Profit sharing model: Jimal and Diana</t>
  </si>
  <si>
    <t>Jimal brings the majority of the capital, runs the business full time on the ground in Rongo, and holds full decision-making control. Diana is a minority investor: capital only, occasional small tasks, not on-site. This tab lays out the waterfall from company profit to what each of you actually takes home.</t>
  </si>
  <si>
    <t>A. CAPITAL CONTRIBUTIONS</t>
  </si>
  <si>
    <t>Contributor</t>
  </si>
  <si>
    <t>Amount (KES)</t>
  </si>
  <si>
    <t>Share of capital</t>
  </si>
  <si>
    <t>Jimal</t>
  </si>
  <si>
    <t>Full operational control, on-ground manager, sole decision-maker</t>
  </si>
  <si>
    <t>Diana</t>
  </si>
  <si>
    <t>Minority investor, capital only, occasional small tasks, not on-site</t>
  </si>
  <si>
    <t>TOTAL CAPITAL</t>
  </si>
  <si>
    <t>B. MONTHLY PROFIT-SHARING WATERFALL</t>
  </si>
  <si>
    <t>Step</t>
  </si>
  <si>
    <t>KES</t>
  </si>
  <si>
    <t>NET COMPANY PROFIT (pre-sharing, from Weekly Restock tab, target scenario)</t>
  </si>
  <si>
    <t>Retained to company accounts</t>
  </si>
  <si>
    <t>Distributable to Jimal and Diana</t>
  </si>
  <si>
    <t>Retained company cash builds the reserve that funds the next weekly lorry order and the ramp toward the 800,000 stock floor, so it is not idle, it is the mechanism that makes weekly full-capacity reordering self-funding after the first few cycles. Edit the 25% if you want a faster or slower build to the floor.</t>
  </si>
  <si>
    <t>C. HOW TO SPLIT THE 75% BETWEEN JIMAL AND DIANA: THREE MODELS</t>
  </si>
  <si>
    <t>Model</t>
  </si>
  <si>
    <t>Jimal %</t>
  </si>
  <si>
    <t>Diana %</t>
  </si>
  <si>
    <t>Basis</t>
  </si>
  <si>
    <t>A. Capital pro-rata</t>
  </si>
  <si>
    <t>Matches the 200k:100k capital ratio exactly. Simplest to justify since Jimal's labor is already paid separately via the 80,000 stipend, so this slice is purely a return on capital.</t>
  </si>
  <si>
    <t>B. Control premium (recommended)</t>
  </si>
  <si>
    <t>Weights slightly beyond capital ratio because Jimal carries full decision-making authority and is the sole party bearing operational risk day to day, a role Diana is explicitly not taking on.</t>
  </si>
  <si>
    <t>C. Equal split</t>
  </si>
  <si>
    <t>Included for comparison only. Hard to justify here given unequal capital and unequal involvement; typically only fits when both parties contribute comparable capital and labor.</t>
  </si>
  <si>
    <t>D. CHOSEN SPLIT AND WORKED EXAMPLE (this month's target-scenario profit)</t>
  </si>
  <si>
    <t>Chosen split: Jimal %</t>
  </si>
  <si>
    <t>Edit Jimal's % here (Diana's fills in automatically); defaults to Model B.</t>
  </si>
  <si>
    <t>Chosen split: Diana %</t>
  </si>
  <si>
    <t>Company retained (25%)</t>
  </si>
  <si>
    <t>Jimal's share of distributable 75%</t>
  </si>
  <si>
    <t>Diana's share of distributable 75%</t>
  </si>
  <si>
    <t>Jimal's monthly stipend (from New Team &amp; Overheads tab)</t>
  </si>
  <si>
    <t>JIMAL'S TOTAL MONTHLY TAKE (stipend + profit share)</t>
  </si>
  <si>
    <t>DIANA'S TOTAL MONTHLY TAKE (profit share only, no stipend)</t>
  </si>
  <si>
    <t>Recommended: Model B (70/30). Jimal's operational labor is already compensated separately through the 80,000 monthly stipend, so this 75% pool is really compensation for capital plus the extra weight of full decision-making authority and being the only party carrying operational risk day to day; that combination is what pushes it a little past the pure 66.7/33.3 capital ratio. If keeping things as simple and uncontestable as possible with Diana matters more than that extra weight, Model A (pure capital ratio) is the cleanest fallback and needs no justification beyond the amounts each of you put in. Either way, this is a business and financial structuring choice, not legal advice; put whichever split you settle on into a short written agreement with Diana before profit-sharing starts, the same way the wider family/investor structure in the Ownership Transfer advisory is being formalized.</t>
  </si>
  <si>
    <t>Dashboard: MARA WATER restart at a glance</t>
  </si>
  <si>
    <t>Every number below is a live link back to its source tab. Change an input anywhere in the workbook and this page updates with it.</t>
  </si>
  <si>
    <t>A. KEY NUMBERS</t>
  </si>
  <si>
    <t>Realistic monthly net profit
(3 restocks/month, 65,000 stipend)</t>
  </si>
  <si>
    <t>Breakeven restocks/month
(65,000 stipend)</t>
  </si>
  <si>
    <t>Minimum restocks/month for
300,000 profit (65,000 stipend)</t>
  </si>
  <si>
    <t>Cash buffer at October 10 start</t>
  </si>
  <si>
    <t>The 300,000 and 500,000 profit targets need 5 and 7 restock orders a month respectively, well beyond both proven sales pace and 6-lady production capacity today (see the Weekly Restock tab, Section F). Treat them as growth goals, not near-term plans; 3 restocks a month is the realistic target this dashboard is built around.</t>
  </si>
  <si>
    <t>B. NET PROFIT BY RESTOCK FREQUENCY (a full lorry every time)</t>
  </si>
  <si>
    <t>C. FIXED MONTHLY COST BREAKDOWN</t>
  </si>
  <si>
    <t>Cost block</t>
  </si>
  <si>
    <t>KES/month</t>
  </si>
  <si>
    <t>Payroll (driver, sales, accountant, 6 ladies)</t>
  </si>
  <si>
    <t>Overheads (fuel, electricity, repairs, printing etc.)</t>
  </si>
  <si>
    <t>Jimal's stipend (65,000 option)</t>
  </si>
  <si>
    <t>D. DAILY SALES TARGET, BY PROFIT GOAL</t>
  </si>
  <si>
    <t>Scenario</t>
  </si>
  <si>
    <t>Daily sales
target (KES)</t>
  </si>
  <si>
    <t>300k @ 80k stipend</t>
  </si>
  <si>
    <t>300k @ 65k stipend</t>
  </si>
  <si>
    <t>500k @ 80k stipend</t>
  </si>
  <si>
    <t>500k @ 65k stipend</t>
  </si>
  <si>
    <t>September's proven daily sales pace is about 33,854 KES/day for comparison; every bar above is a multiple of that, which is why Section F on the Weekly Restock tab treats 300,000 and 500,000 as stretch and long-horizon goals rather than near-term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</si>
</sst>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0\);\-"/>
    <numFmt numFmtId="166" formatCode="0.0%"/>
    <numFmt numFmtId="167" formatCode="0.0"/>
    <numFmt numFmtId="168" formatCode="0.0000"/>
    <numFmt numFmtId="169" formatCode="0.00\x"/>
    <numFmt numFmtId="170" formatCode="#,##0.0;\(#,##0.0\);\-"/>
  </numFmts>
  <fonts count="33" x14ac:knownFonts="1">
    <font>
      <sz val="11"/>
      <color theme="1"/>
      <name val="Calibri"/>
      <family val="2"/>
      <charset val="1"/>
    </font>
    <font>
      <b/>
      <sz val="14"/>
      <color rgb="FF1F4E78"/>
      <name val="Arial"/>
      <family val="2"/>
    </font>
    <font>
      <b/>
      <i/>
      <sz val="11"/>
      <color rgb="FF595959"/>
      <name val="Arial"/>
      <family val="2"/>
    </font>
    <font>
      <b/>
      <sz val="11"/>
      <color rgb="FF1F4E78"/>
      <name val="Arial"/>
      <family val="2"/>
    </font>
    <font>
      <sz val="10"/>
      <name val="Arial"/>
      <family val="2"/>
    </font>
    <font>
      <b/>
      <sz val="11"/>
      <name val="Arial"/>
      <family val="2"/>
    </font>
    <font>
      <b/>
      <sz val="10"/>
      <color rgb="FFFFFFFF"/>
      <name val="Arial"/>
      <family val="2"/>
    </font>
    <font>
      <sz val="11"/>
      <color rgb="FF0000FF"/>
      <name val="Cambria"/>
      <family val="1"/>
    </font>
    <font>
      <b/>
      <sz val="11"/>
      <name val="Cambria"/>
      <family val="1"/>
    </font>
    <font>
      <b/>
      <sz val="12"/>
      <name val="Cambria"/>
      <family val="1"/>
    </font>
    <font>
      <i/>
      <sz val="9"/>
      <color rgb="FF808080"/>
      <name val="Arial"/>
      <family val="2"/>
    </font>
    <font>
      <sz val="9"/>
      <color rgb="FF1F4E78"/>
      <name val="Arial"/>
      <family val="2"/>
    </font>
    <font>
      <b/>
      <sz val="11"/>
      <color rgb="FF2E7D32"/>
      <name val="Cambria"/>
      <family val="1"/>
    </font>
    <font>
      <b/>
      <sz val="11"/>
      <color rgb="FF9C2B2B"/>
      <name val="Cambria"/>
      <family val="1"/>
    </font>
    <font>
      <i/>
      <sz val="11"/>
      <color rgb="FF808080"/>
      <name val="Cambria"/>
      <family val="1"/>
    </font>
    <font>
      <sz val="11"/>
      <name val="Cambria"/>
      <family val="1"/>
    </font>
    <font>
      <sz val="11"/>
      <color rgb="FF375623"/>
      <name val="Cambria"/>
      <family val="1"/>
    </font>
    <font>
      <i/>
      <sz val="11"/>
      <name val="Cambria"/>
      <family val="1"/>
    </font>
    <font>
      <i/>
      <sz val="11"/>
      <color rgb="FF0000FF"/>
      <name val="Cambria"/>
      <family val="1"/>
    </font>
    <font>
      <sz val="10"/>
      <color rgb="FF1F4E78"/>
      <name val="Arial"/>
      <family val="2"/>
    </font>
    <font>
      <i/>
      <sz val="9"/>
      <name val="Cambria"/>
      <family val="1"/>
    </font>
    <font>
      <i/>
      <sz val="9"/>
      <color rgb="FF808080"/>
      <name val="Cambria"/>
      <family val="1"/>
    </font>
    <font>
      <b/>
      <sz val="11"/>
      <color rgb="FF0000FF"/>
      <name val="Cambria"/>
      <family val="1"/>
    </font>
    <font>
      <b/>
      <sz val="11"/>
      <color rgb="FF375623"/>
      <name val="Cambria"/>
      <family val="1"/>
    </font>
    <font>
      <b/>
      <sz val="10"/>
      <name val="Cambria"/>
      <family val="1"/>
    </font>
    <font>
      <sz val="9"/>
      <color rgb="FF808080"/>
      <name val="Cambria"/>
      <family val="1"/>
    </font>
    <font>
      <sz val="10"/>
      <name val="Cambria"/>
      <family val="1"/>
    </font>
    <font>
      <b/>
      <sz val="9"/>
      <color rgb="FF595959"/>
      <name val="Cambria"/>
      <family val="1"/>
    </font>
    <font>
      <b/>
      <sz val="18"/>
      <color rgb="FF1F4E78"/>
      <name val="Cambria"/>
      <family val="1"/>
    </font>
    <font>
      <b/>
      <sz val="11"/>
      <color rgb="FFFF0000"/>
      <name val="Cambria"/>
      <family val="1"/>
    </font>
    <font>
      <b/>
      <sz val="12"/>
      <color rgb="FFFF0000"/>
      <name val="Cambria"/>
      <family val="1"/>
    </font>
    <font>
      <sz val="11"/>
      <color rgb="FFFF0000"/>
      <name val="Calibri"/>
      <family val="2"/>
      <charset val="1"/>
    </font>
    <font>
      <sz val="11"/>
      <name val="Calibri"/>
      <family val="2"/>
      <charset val="1"/>
    </font>
  </fonts>
  <fills count="11">
    <fill>
      <patternFill patternType="none"/>
    </fill>
    <fill>
      <patternFill patternType="gray125"/>
    </fill>
    <fill>
      <patternFill patternType="solid">
        <fgColor rgb="FF1F4E78"/>
        <bgColor rgb="FF003366"/>
      </patternFill>
    </fill>
    <fill>
      <patternFill patternType="solid">
        <fgColor rgb="FFF2F2F2"/>
        <bgColor rgb="FFE2EFDA"/>
      </patternFill>
    </fill>
    <fill>
      <patternFill patternType="solid">
        <fgColor rgb="FFE2EFDA"/>
        <bgColor rgb="FFF2F2F2"/>
      </patternFill>
    </fill>
    <fill>
      <patternFill patternType="solid">
        <fgColor rgb="FFFFFF00"/>
        <bgColor rgb="FFFFFF00"/>
      </patternFill>
    </fill>
    <fill>
      <patternFill patternType="solid">
        <fgColor rgb="FFFBE4E4"/>
        <bgColor rgb="FFFCE4D6"/>
      </patternFill>
    </fill>
    <fill>
      <patternFill patternType="solid">
        <fgColor rgb="FFFCE4D6"/>
        <bgColor rgb="FFFBE4E4"/>
      </patternFill>
    </fill>
    <fill>
      <patternFill patternType="solid">
        <fgColor rgb="FF00B050"/>
        <bgColor rgb="FFFFFF00"/>
      </patternFill>
    </fill>
    <fill>
      <patternFill patternType="solid">
        <fgColor rgb="FF00B050"/>
        <bgColor rgb="FFF2F2F2"/>
      </patternFill>
    </fill>
    <fill>
      <patternFill patternType="solid">
        <fgColor rgb="FF00B05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5">
    <xf numFmtId="0" fontId="0" fillId="0" borderId="0" xfId="0"/>
    <xf numFmtId="2" fontId="28" fillId="7" borderId="1" xfId="0" applyNumberFormat="1" applyFont="1" applyFill="1" applyBorder="1" applyAlignment="1">
      <alignment horizontal="center" vertical="center"/>
    </xf>
    <xf numFmtId="164" fontId="28" fillId="4" borderId="1" xfId="0" applyNumberFormat="1" applyFont="1" applyFill="1" applyBorder="1" applyAlignment="1">
      <alignment horizontal="center" vertical="center"/>
    </xf>
    <xf numFmtId="0" fontId="27" fillId="0" borderId="1" xfId="0" applyFont="1" applyBorder="1" applyAlignment="1">
      <alignment vertical="top" wrapText="1"/>
    </xf>
    <xf numFmtId="0" fontId="26" fillId="3" borderId="0" xfId="0" applyFont="1" applyFill="1" applyBorder="1" applyAlignment="1">
      <alignment vertical="top" wrapText="1"/>
    </xf>
    <xf numFmtId="0" fontId="26" fillId="0" borderId="0" xfId="0" applyFont="1" applyBorder="1" applyAlignment="1">
      <alignment vertical="top" wrapText="1"/>
    </xf>
    <xf numFmtId="0" fontId="25" fillId="0" borderId="0" xfId="0" applyFont="1" applyBorder="1" applyAlignment="1">
      <alignment vertical="top" wrapText="1"/>
    </xf>
    <xf numFmtId="0" fontId="24" fillId="0" borderId="0" xfId="0" applyFont="1" applyBorder="1"/>
    <xf numFmtId="0" fontId="15" fillId="3" borderId="0" xfId="0" applyFont="1" applyFill="1" applyBorder="1"/>
    <xf numFmtId="0" fontId="15" fillId="0" borderId="0" xfId="0" applyFont="1" applyBorder="1"/>
    <xf numFmtId="0" fontId="19" fillId="0" borderId="0" xfId="0" applyFont="1" applyBorder="1" applyAlignment="1">
      <alignment vertical="top" wrapText="1"/>
    </xf>
    <xf numFmtId="0" fontId="11" fillId="0" borderId="0" xfId="0" applyFont="1" applyBorder="1" applyAlignment="1">
      <alignment vertical="top" wrapText="1"/>
    </xf>
    <xf numFmtId="0" fontId="10" fillId="0" borderId="0" xfId="0" applyFont="1" applyBorder="1"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2" borderId="0" xfId="0" applyFont="1" applyFill="1" applyAlignment="1">
      <alignment horizontal="center" vertical="center" wrapText="1"/>
    </xf>
    <xf numFmtId="164" fontId="7" fillId="0" borderId="0" xfId="0" applyNumberFormat="1" applyFont="1"/>
    <xf numFmtId="164" fontId="0" fillId="0" borderId="0" xfId="0" applyNumberFormat="1"/>
    <xf numFmtId="0" fontId="0" fillId="3" borderId="0" xfId="0" applyFont="1" applyFill="1"/>
    <xf numFmtId="164" fontId="7" fillId="3" borderId="0" xfId="0" applyNumberFormat="1" applyFont="1" applyFill="1"/>
    <xf numFmtId="164" fontId="0" fillId="3" borderId="0" xfId="0" applyNumberFormat="1" applyFill="1"/>
    <xf numFmtId="0" fontId="8" fillId="4" borderId="0" xfId="0" applyFont="1" applyFill="1"/>
    <xf numFmtId="164" fontId="8" fillId="4" borderId="0" xfId="0" applyNumberFormat="1" applyFont="1" applyFill="1"/>
    <xf numFmtId="0" fontId="9" fillId="0" borderId="0" xfId="0" applyFont="1"/>
    <xf numFmtId="164" fontId="9" fillId="5" borderId="0" xfId="0" applyNumberFormat="1" applyFont="1" applyFill="1"/>
    <xf numFmtId="0" fontId="0" fillId="4" borderId="0" xfId="0" applyFont="1" applyFill="1"/>
    <xf numFmtId="164" fontId="7" fillId="4" borderId="0" xfId="0" applyNumberFormat="1" applyFont="1" applyFill="1"/>
    <xf numFmtId="165" fontId="7" fillId="4" borderId="0" xfId="0" applyNumberFormat="1" applyFont="1" applyFill="1"/>
    <xf numFmtId="164" fontId="0" fillId="4" borderId="0" xfId="0" applyNumberFormat="1" applyFill="1"/>
    <xf numFmtId="0" fontId="12" fillId="4" borderId="0" xfId="0" applyFont="1" applyFill="1"/>
    <xf numFmtId="0" fontId="8" fillId="6" borderId="0" xfId="0" applyFont="1" applyFill="1"/>
    <xf numFmtId="0" fontId="0" fillId="6" borderId="0" xfId="0" applyFont="1" applyFill="1"/>
    <xf numFmtId="164" fontId="7" fillId="6" borderId="0" xfId="0" applyNumberFormat="1" applyFont="1" applyFill="1"/>
    <xf numFmtId="165" fontId="7" fillId="6" borderId="0" xfId="0" applyNumberFormat="1" applyFont="1" applyFill="1"/>
    <xf numFmtId="164" fontId="0" fillId="6" borderId="0" xfId="0" applyNumberFormat="1" applyFill="1"/>
    <xf numFmtId="0" fontId="13" fillId="6" borderId="0" xfId="0" applyFont="1" applyFill="1"/>
    <xf numFmtId="0" fontId="8" fillId="0" borderId="0" xfId="0" applyFont="1"/>
    <xf numFmtId="164" fontId="8" fillId="0" borderId="0" xfId="0" applyNumberFormat="1" applyFont="1"/>
    <xf numFmtId="166" fontId="8" fillId="0" borderId="0" xfId="0" applyNumberFormat="1" applyFont="1"/>
    <xf numFmtId="0" fontId="0" fillId="0" borderId="0" xfId="0" applyFont="1"/>
    <xf numFmtId="166" fontId="0" fillId="0" borderId="0" xfId="0" applyNumberFormat="1"/>
    <xf numFmtId="164" fontId="14" fillId="0" borderId="0" xfId="0" applyNumberFormat="1" applyFont="1"/>
    <xf numFmtId="0" fontId="8" fillId="3" borderId="0" xfId="0" applyFont="1" applyFill="1"/>
    <xf numFmtId="166" fontId="0" fillId="3" borderId="0" xfId="0" applyNumberFormat="1" applyFill="1"/>
    <xf numFmtId="164" fontId="14" fillId="3" borderId="0" xfId="0" applyNumberFormat="1" applyFont="1" applyFill="1"/>
    <xf numFmtId="0" fontId="9" fillId="5" borderId="0" xfId="0" applyFont="1" applyFill="1"/>
    <xf numFmtId="164" fontId="9" fillId="0" borderId="0" xfId="0" applyNumberFormat="1" applyFont="1"/>
    <xf numFmtId="167" fontId="0" fillId="0" borderId="0" xfId="0" applyNumberFormat="1"/>
    <xf numFmtId="0" fontId="15" fillId="0" borderId="0" xfId="0" applyFont="1"/>
    <xf numFmtId="164" fontId="15" fillId="0" borderId="0" xfId="0" applyNumberFormat="1" applyFont="1"/>
    <xf numFmtId="164" fontId="16" fillId="0" borderId="0" xfId="0" applyNumberFormat="1" applyFont="1"/>
    <xf numFmtId="0" fontId="17" fillId="0" borderId="0" xfId="0" applyFont="1"/>
    <xf numFmtId="164" fontId="18" fillId="0" borderId="0" xfId="0" applyNumberFormat="1" applyFont="1"/>
    <xf numFmtId="164" fontId="8" fillId="7" borderId="0" xfId="0" applyNumberFormat="1" applyFont="1" applyFill="1"/>
    <xf numFmtId="164" fontId="8" fillId="3" borderId="0" xfId="0" applyNumberFormat="1" applyFont="1" applyFill="1"/>
    <xf numFmtId="166" fontId="8" fillId="7" borderId="0" xfId="0" applyNumberFormat="1" applyFont="1" applyFill="1"/>
    <xf numFmtId="167" fontId="8" fillId="0" borderId="0" xfId="0" applyNumberFormat="1" applyFont="1"/>
    <xf numFmtId="0" fontId="20" fillId="0" borderId="0" xfId="0" applyFont="1"/>
    <xf numFmtId="168" fontId="21" fillId="0" borderId="0" xfId="0" applyNumberFormat="1" applyFont="1"/>
    <xf numFmtId="164" fontId="22" fillId="0" borderId="0" xfId="0" applyNumberFormat="1" applyFont="1"/>
    <xf numFmtId="164" fontId="8" fillId="5" borderId="0" xfId="0" applyNumberFormat="1" applyFont="1" applyFill="1"/>
    <xf numFmtId="2" fontId="0" fillId="0" borderId="0" xfId="0" applyNumberFormat="1"/>
    <xf numFmtId="169" fontId="0" fillId="0" borderId="0" xfId="0" applyNumberFormat="1"/>
    <xf numFmtId="164" fontId="16" fillId="3" borderId="0" xfId="0" applyNumberFormat="1" applyFont="1" applyFill="1"/>
    <xf numFmtId="0" fontId="21" fillId="0" borderId="0" xfId="0" applyFont="1"/>
    <xf numFmtId="170" fontId="7" fillId="0" borderId="0" xfId="0" applyNumberFormat="1" applyFont="1"/>
    <xf numFmtId="170" fontId="8" fillId="4" borderId="0" xfId="0" applyNumberFormat="1" applyFont="1" applyFill="1"/>
    <xf numFmtId="170" fontId="8" fillId="0" borderId="0" xfId="0" applyNumberFormat="1" applyFont="1"/>
    <xf numFmtId="170" fontId="0" fillId="0" borderId="0" xfId="0" applyNumberFormat="1"/>
    <xf numFmtId="0" fontId="8" fillId="0" borderId="0" xfId="0" applyFont="1" applyAlignment="1">
      <alignment vertical="top" wrapText="1"/>
    </xf>
    <xf numFmtId="0" fontId="8" fillId="3" borderId="0" xfId="0" applyFont="1" applyFill="1" applyAlignment="1">
      <alignment vertical="top" wrapText="1"/>
    </xf>
    <xf numFmtId="0" fontId="20" fillId="3" borderId="0" xfId="0" applyFont="1" applyFill="1"/>
    <xf numFmtId="164" fontId="23" fillId="5" borderId="0" xfId="0" applyNumberFormat="1" applyFont="1" applyFill="1"/>
    <xf numFmtId="166" fontId="7" fillId="0" borderId="0" xfId="0" applyNumberFormat="1" applyFont="1"/>
    <xf numFmtId="0" fontId="20" fillId="0" borderId="0" xfId="0" applyFont="1" applyAlignment="1">
      <alignment vertical="top" wrapText="1"/>
    </xf>
    <xf numFmtId="166" fontId="0" fillId="4" borderId="0" xfId="0" applyNumberFormat="1" applyFill="1"/>
    <xf numFmtId="0" fontId="20" fillId="4" borderId="0" xfId="0" applyFont="1" applyFill="1" applyAlignment="1">
      <alignment vertical="top" wrapText="1"/>
    </xf>
    <xf numFmtId="0" fontId="0" fillId="0" borderId="0" xfId="0" applyFont="1" applyAlignment="1">
      <alignment wrapText="1"/>
    </xf>
    <xf numFmtId="164" fontId="28" fillId="7" borderId="1" xfId="0" applyNumberFormat="1" applyFont="1" applyFill="1" applyBorder="1" applyAlignment="1">
      <alignment horizontal="center" vertical="center"/>
    </xf>
    <xf numFmtId="164" fontId="28" fillId="5" borderId="1" xfId="0" applyNumberFormat="1" applyFont="1" applyFill="1" applyBorder="1" applyAlignment="1">
      <alignment horizontal="center" vertical="center"/>
    </xf>
    <xf numFmtId="164" fontId="29" fillId="4" borderId="0" xfId="0" applyNumberFormat="1" applyFont="1" applyFill="1"/>
    <xf numFmtId="166" fontId="29" fillId="4" borderId="0" xfId="0" applyNumberFormat="1" applyFont="1" applyFill="1"/>
    <xf numFmtId="164" fontId="30" fillId="5" borderId="0" xfId="0" applyNumberFormat="1" applyFont="1" applyFill="1"/>
    <xf numFmtId="166" fontId="30" fillId="5" borderId="0" xfId="0" applyNumberFormat="1" applyFont="1" applyFill="1"/>
    <xf numFmtId="164" fontId="9" fillId="8" borderId="0" xfId="0" applyNumberFormat="1" applyFont="1" applyFill="1"/>
    <xf numFmtId="164" fontId="8" fillId="9" borderId="0" xfId="0" applyNumberFormat="1" applyFont="1" applyFill="1"/>
    <xf numFmtId="164" fontId="29" fillId="6" borderId="0" xfId="0" applyNumberFormat="1" applyFont="1" applyFill="1"/>
    <xf numFmtId="0" fontId="15" fillId="10" borderId="0" xfId="0" applyFont="1" applyFill="1"/>
    <xf numFmtId="164" fontId="15" fillId="10" borderId="0" xfId="0" applyNumberFormat="1" applyFont="1" applyFill="1"/>
    <xf numFmtId="0" fontId="32" fillId="10" borderId="0" xfId="0" applyFont="1" applyFill="1"/>
    <xf numFmtId="164" fontId="29" fillId="7" borderId="0" xfId="0" applyNumberFormat="1" applyFont="1" applyFill="1"/>
    <xf numFmtId="167" fontId="0" fillId="10" borderId="0" xfId="0" applyNumberFormat="1" applyFill="1"/>
    <xf numFmtId="0" fontId="8" fillId="10" borderId="0" xfId="0" applyFont="1" applyFill="1"/>
    <xf numFmtId="164" fontId="8" fillId="10" borderId="0" xfId="0" applyNumberFormat="1" applyFont="1" applyFill="1"/>
    <xf numFmtId="0" fontId="0" fillId="10" borderId="0" xfId="0" applyFill="1"/>
    <xf numFmtId="164" fontId="0" fillId="10" borderId="0" xfId="0" applyNumberFormat="1" applyFill="1"/>
    <xf numFmtId="164" fontId="30" fillId="6" borderId="0" xfId="0" applyNumberFormat="1" applyFont="1" applyFill="1"/>
    <xf numFmtId="164" fontId="31" fillId="0" borderId="0" xfId="0" applyNumberFormat="1" applyFont="1"/>
    <xf numFmtId="0" fontId="8" fillId="10" borderId="0" xfId="0" applyFont="1" applyFill="1" applyBorder="1"/>
    <xf numFmtId="164" fontId="23" fillId="10" borderId="0" xfId="0" applyNumberFormat="1" applyFont="1" applyFill="1"/>
    <xf numFmtId="0" fontId="9" fillId="10" borderId="0" xfId="0" applyFont="1" applyFill="1" applyBorder="1"/>
    <xf numFmtId="164" fontId="9" fillId="9" borderId="0" xfId="0" applyNumberFormat="1"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BE4E4"/>
      <rgbColor rgb="FF99CCFF"/>
      <rgbColor rgb="FFFF99CC"/>
      <rgbColor rgb="FFCC99FF"/>
      <rgbColor rgb="FFFCE4D6"/>
      <rgbColor rgb="FF2A78D6"/>
      <rgbColor rgb="FF33CCCC"/>
      <rgbColor rgb="FF99CC00"/>
      <rgbColor rgb="FFFFCC00"/>
      <rgbColor rgb="FFEDA100"/>
      <rgbColor rgb="FFEB6834"/>
      <rgbColor rgb="FF595959"/>
      <rgbColor rgb="FF878787"/>
      <rgbColor rgb="FF003366"/>
      <rgbColor rgb="FF1BAF7A"/>
      <rgbColor rgb="FF003300"/>
      <rgbColor rgb="FF333300"/>
      <rgbColor rgb="FF9C2B2B"/>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Net profit by restock frequency</a:t>
            </a:r>
          </a:p>
        </c:rich>
      </c:tx>
      <c:overlay val="0"/>
      <c:spPr>
        <a:noFill/>
        <a:ln w="0">
          <a:noFill/>
        </a:ln>
      </c:spPr>
    </c:title>
    <c:autoTitleDeleted val="0"/>
    <c:plotArea>
      <c:layout/>
      <c:barChart>
        <c:barDir val="col"/>
        <c:grouping val="clustered"/>
        <c:varyColors val="0"/>
        <c:ser>
          <c:idx val="0"/>
          <c:order val="0"/>
          <c:tx>
            <c:strRef>
              <c:f>'Starting Stock - Lorry &amp; Profit'!$B$47</c:f>
              <c:strCache>
                <c:ptCount val="1"/>
                <c:pt idx="0">
                  <c:v>NET PROFIT at 80,000 stipend</c:v>
                </c:pt>
              </c:strCache>
            </c:strRef>
          </c:tx>
          <c:spPr>
            <a:solidFill>
              <a:srgbClr val="2A78D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'Starting Stock - Lorry &amp; Profit'!$C$38:$F$38</c:f>
              <c:strCache>
                <c:ptCount val="4"/>
                <c:pt idx="0">
                  <c:v>1 order/month</c:v>
                </c:pt>
                <c:pt idx="1">
                  <c:v>2 restocks/month</c:v>
                </c:pt>
                <c:pt idx="2">
                  <c:v>3 restocks/month</c:v>
                </c:pt>
                <c:pt idx="3">
                  <c:v>4 restocks/month</c:v>
                </c:pt>
              </c:strCache>
            </c:strRef>
          </c:cat>
          <c:val>
            <c:numRef>
              <c:f>'Starting Stock - Lorry &amp; Profit'!$C$47:$F$47</c:f>
              <c:numCache>
                <c:formatCode>#,##0;\(#,##0\);\-</c:formatCode>
                <c:ptCount val="4"/>
                <c:pt idx="0">
                  <c:v>-146072.9224137931</c:v>
                </c:pt>
                <c:pt idx="1">
                  <c:v>-21145.844827586203</c:v>
                </c:pt>
                <c:pt idx="2">
                  <c:v>103781.23275862064</c:v>
                </c:pt>
                <c:pt idx="3">
                  <c:v>228708.31034482759</c:v>
                </c:pt>
              </c:numCache>
            </c:numRef>
          </c:val>
          <c:extLst>
            <c:ext xmlns:c16="http://schemas.microsoft.com/office/drawing/2014/chart" uri="{C3380CC4-5D6E-409C-BE32-E72D297353CC}">
              <c16:uniqueId val="{00000000-C6FB-DE4B-B632-9918B03ADBA0}"/>
            </c:ext>
          </c:extLst>
        </c:ser>
        <c:ser>
          <c:idx val="1"/>
          <c:order val="1"/>
          <c:tx>
            <c:strRef>
              <c:f>'Starting Stock - Lorry &amp; Profit'!$B$49</c:f>
              <c:strCache>
                <c:ptCount val="1"/>
                <c:pt idx="0">
                  <c:v>NET PROFIT at 65,000 stipend</c:v>
                </c:pt>
              </c:strCache>
            </c:strRef>
          </c:tx>
          <c:spPr>
            <a:solidFill>
              <a:srgbClr val="EB683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'Starting Stock - Lorry &amp; Profit'!$C$38:$F$38</c:f>
              <c:strCache>
                <c:ptCount val="4"/>
                <c:pt idx="0">
                  <c:v>1 order/month</c:v>
                </c:pt>
                <c:pt idx="1">
                  <c:v>2 restocks/month</c:v>
                </c:pt>
                <c:pt idx="2">
                  <c:v>3 restocks/month</c:v>
                </c:pt>
                <c:pt idx="3">
                  <c:v>4 restocks/month</c:v>
                </c:pt>
              </c:strCache>
            </c:strRef>
          </c:cat>
          <c:val>
            <c:numRef>
              <c:f>'Starting Stock - Lorry &amp; Profit'!$C$49:$F$49</c:f>
              <c:numCache>
                <c:formatCode>#,##0;\(#,##0\);\-</c:formatCode>
                <c:ptCount val="4"/>
                <c:pt idx="0">
                  <c:v>-131072.9224137931</c:v>
                </c:pt>
                <c:pt idx="1">
                  <c:v>-6145.8448275862029</c:v>
                </c:pt>
                <c:pt idx="2">
                  <c:v>118781.23275862064</c:v>
                </c:pt>
                <c:pt idx="3">
                  <c:v>243708.31034482759</c:v>
                </c:pt>
              </c:numCache>
            </c:numRef>
          </c:val>
          <c:extLst>
            <c:ext xmlns:c16="http://schemas.microsoft.com/office/drawing/2014/chart" uri="{C3380CC4-5D6E-409C-BE32-E72D297353CC}">
              <c16:uniqueId val="{00000001-C6FB-DE4B-B632-9918B03ADBA0}"/>
            </c:ext>
          </c:extLst>
        </c:ser>
        <c:dLbls>
          <c:showLegendKey val="0"/>
          <c:showVal val="0"/>
          <c:showCatName val="0"/>
          <c:showSerName val="0"/>
          <c:showPercent val="0"/>
          <c:showBubbleSize val="0"/>
        </c:dLbls>
        <c:gapWidth val="150"/>
        <c:axId val="35099979"/>
        <c:axId val="60057796"/>
      </c:barChart>
      <c:catAx>
        <c:axId val="3509997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Restock orders per month</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60057796"/>
        <c:crosses val="autoZero"/>
        <c:auto val="1"/>
        <c:lblAlgn val="ctr"/>
        <c:lblOffset val="100"/>
        <c:noMultiLvlLbl val="0"/>
      </c:catAx>
      <c:valAx>
        <c:axId val="600577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KES / month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09997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Fixed monthly cost breakdown (at 65,000 stipend)</a:t>
            </a:r>
          </a:p>
        </c:rich>
      </c:tx>
      <c:overlay val="0"/>
      <c:spPr>
        <a:noFill/>
        <a:ln w="0">
          <a:noFill/>
        </a:ln>
      </c:spPr>
    </c:title>
    <c:autoTitleDeleted val="0"/>
    <c:plotArea>
      <c:layout/>
      <c:barChart>
        <c:barDir val="bar"/>
        <c:grouping val="clustered"/>
        <c:varyColors val="0"/>
        <c:ser>
          <c:idx val="0"/>
          <c:order val="0"/>
          <c:tx>
            <c:strRef>
              <c:f>Dashboard!$C$33</c:f>
              <c:strCache>
                <c:ptCount val="1"/>
                <c:pt idx="0">
                  <c:v>KES/month</c:v>
                </c:pt>
              </c:strCache>
            </c:strRef>
          </c:tx>
          <c:spPr>
            <a:solidFill>
              <a:srgbClr val="1BAF7A"/>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Dashboard!$B$34:$B$36</c:f>
              <c:strCache>
                <c:ptCount val="3"/>
                <c:pt idx="0">
                  <c:v>Payroll (driver, sales, accountant, 6 ladies)</c:v>
                </c:pt>
                <c:pt idx="1">
                  <c:v>Overheads (fuel, electricity, repairs, printing etc.)</c:v>
                </c:pt>
                <c:pt idx="2">
                  <c:v>Jimal's stipend (65,000 option)</c:v>
                </c:pt>
              </c:strCache>
            </c:strRef>
          </c:cat>
          <c:val>
            <c:numRef>
              <c:f>Dashboard!$C$34:$C$36</c:f>
              <c:numCache>
                <c:formatCode>#,##0;\(#,##0\);\-</c:formatCode>
                <c:ptCount val="3"/>
                <c:pt idx="0">
                  <c:v>125000</c:v>
                </c:pt>
                <c:pt idx="1">
                  <c:v>66000</c:v>
                </c:pt>
                <c:pt idx="2">
                  <c:v>65000</c:v>
                </c:pt>
              </c:numCache>
            </c:numRef>
          </c:val>
          <c:extLst>
            <c:ext xmlns:c16="http://schemas.microsoft.com/office/drawing/2014/chart" uri="{C3380CC4-5D6E-409C-BE32-E72D297353CC}">
              <c16:uniqueId val="{00000000-38F8-8745-946E-686B66567B2F}"/>
            </c:ext>
          </c:extLst>
        </c:ser>
        <c:dLbls>
          <c:showLegendKey val="0"/>
          <c:showVal val="0"/>
          <c:showCatName val="0"/>
          <c:showSerName val="0"/>
          <c:showPercent val="0"/>
          <c:showBubbleSize val="0"/>
        </c:dLbls>
        <c:gapWidth val="150"/>
        <c:axId val="57181645"/>
        <c:axId val="58492685"/>
      </c:barChart>
      <c:catAx>
        <c:axId val="57181645"/>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492685"/>
        <c:crosses val="autoZero"/>
        <c:auto val="1"/>
        <c:lblAlgn val="ctr"/>
        <c:lblOffset val="100"/>
        <c:noMultiLvlLbl val="0"/>
      </c:catAx>
      <c:valAx>
        <c:axId val="5849268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KES / month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18164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Daily sales revenue target, by profit goal</a:t>
            </a:r>
          </a:p>
        </c:rich>
      </c:tx>
      <c:overlay val="0"/>
      <c:spPr>
        <a:noFill/>
        <a:ln w="0">
          <a:noFill/>
        </a:ln>
      </c:spPr>
    </c:title>
    <c:autoTitleDeleted val="0"/>
    <c:plotArea>
      <c:layout/>
      <c:barChart>
        <c:barDir val="col"/>
        <c:grouping val="clustered"/>
        <c:varyColors val="0"/>
        <c:ser>
          <c:idx val="0"/>
          <c:order val="0"/>
          <c:tx>
            <c:strRef>
              <c:f>Dashboard!$C$51</c:f>
              <c:strCache>
                <c:ptCount val="1"/>
                <c:pt idx="0">
                  <c:v>Daily sales
target (KES)</c:v>
                </c:pt>
              </c:strCache>
            </c:strRef>
          </c:tx>
          <c:spPr>
            <a:solidFill>
              <a:srgbClr val="EDA1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Dashboard!$B$52:$B$55</c:f>
              <c:strCache>
                <c:ptCount val="4"/>
                <c:pt idx="0">
                  <c:v>300k @ 80k stipend</c:v>
                </c:pt>
                <c:pt idx="1">
                  <c:v>300k @ 65k stipend</c:v>
                </c:pt>
                <c:pt idx="2">
                  <c:v>500k @ 80k stipend</c:v>
                </c:pt>
                <c:pt idx="3">
                  <c:v>500k @ 65k stipend</c:v>
                </c:pt>
              </c:strCache>
            </c:strRef>
          </c:cat>
          <c:val>
            <c:numRef>
              <c:f>Dashboard!$C$52:$C$55</c:f>
              <c:numCache>
                <c:formatCode>#,##0;\(#,##0\);\-</c:formatCode>
                <c:ptCount val="4"/>
                <c:pt idx="0">
                  <c:v>62854.574212001986</c:v>
                </c:pt>
                <c:pt idx="1">
                  <c:v>61203.403260723469</c:v>
                </c:pt>
                <c:pt idx="2">
                  <c:v>84870.186895715466</c:v>
                </c:pt>
                <c:pt idx="3">
                  <c:v>83219.015944436964</c:v>
                </c:pt>
              </c:numCache>
            </c:numRef>
          </c:val>
          <c:extLst>
            <c:ext xmlns:c16="http://schemas.microsoft.com/office/drawing/2014/chart" uri="{C3380CC4-5D6E-409C-BE32-E72D297353CC}">
              <c16:uniqueId val="{00000000-0E07-364A-891B-8B2C28C77606}"/>
            </c:ext>
          </c:extLst>
        </c:ser>
        <c:dLbls>
          <c:showLegendKey val="0"/>
          <c:showVal val="0"/>
          <c:showCatName val="0"/>
          <c:showSerName val="0"/>
          <c:showPercent val="0"/>
          <c:showBubbleSize val="0"/>
        </c:dLbls>
        <c:gapWidth val="150"/>
        <c:axId val="24575217"/>
        <c:axId val="31473648"/>
      </c:barChart>
      <c:catAx>
        <c:axId val="245752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473648"/>
        <c:crosses val="autoZero"/>
        <c:auto val="1"/>
        <c:lblAlgn val="ctr"/>
        <c:lblOffset val="100"/>
        <c:noMultiLvlLbl val="0"/>
      </c:catAx>
      <c:valAx>
        <c:axId val="3147364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KES / day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57521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114300</xdr:rowOff>
    </xdr:from>
    <xdr:to>
      <xdr:col>10</xdr:col>
      <xdr:colOff>838200</xdr:colOff>
      <xdr:row>32</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228600</xdr:colOff>
      <xdr:row>38</xdr:row>
      <xdr:rowOff>12700</xdr:rowOff>
    </xdr:from>
    <xdr:to>
      <xdr:col>18</xdr:col>
      <xdr:colOff>215900</xdr:colOff>
      <xdr:row>53</xdr:row>
      <xdr:rowOff>88900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55</xdr:row>
      <xdr:rowOff>20880</xdr:rowOff>
    </xdr:from>
    <xdr:to>
      <xdr:col>7</xdr:col>
      <xdr:colOff>744820</xdr:colOff>
      <xdr:row>70</xdr:row>
      <xdr:rowOff>42840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B34"/>
  <sheetViews>
    <sheetView showGridLines="0" topLeftCell="A22" zoomScaleNormal="100" workbookViewId="0"/>
  </sheetViews>
  <sheetFormatPr baseColWidth="10" defaultColWidth="8.6640625" defaultRowHeight="15" x14ac:dyDescent="0.2"/>
  <cols>
    <col min="1" max="1" width="3" customWidth="1"/>
    <col min="2" max="2" width="100" customWidth="1"/>
  </cols>
  <sheetData>
    <row r="2" spans="2:2" ht="21.75" customHeight="1" x14ac:dyDescent="0.2">
      <c r="B2" s="13" t="s">
        <v>0</v>
      </c>
    </row>
    <row r="3" spans="2:2" ht="27.75" customHeight="1" x14ac:dyDescent="0.2">
      <c r="B3" s="14" t="s">
        <v>1</v>
      </c>
    </row>
    <row r="5" spans="2:2" x14ac:dyDescent="0.2">
      <c r="B5" s="15" t="s">
        <v>2</v>
      </c>
    </row>
    <row r="6" spans="2:2" ht="37.5" customHeight="1" x14ac:dyDescent="0.2">
      <c r="B6" s="16" t="s">
        <v>3</v>
      </c>
    </row>
    <row r="7" spans="2:2" ht="67.5" customHeight="1" x14ac:dyDescent="0.2">
      <c r="B7" s="16" t="s">
        <v>4</v>
      </c>
    </row>
    <row r="8" spans="2:2" ht="67.5" customHeight="1" x14ac:dyDescent="0.2">
      <c r="B8" s="16" t="s">
        <v>5</v>
      </c>
    </row>
    <row r="9" spans="2:2" ht="52.5" customHeight="1" x14ac:dyDescent="0.2">
      <c r="B9" s="16" t="s">
        <v>6</v>
      </c>
    </row>
    <row r="10" spans="2:2" ht="52.5" customHeight="1" x14ac:dyDescent="0.2">
      <c r="B10" s="16" t="s">
        <v>7</v>
      </c>
    </row>
    <row r="11" spans="2:2" ht="37.5" customHeight="1" x14ac:dyDescent="0.2">
      <c r="B11" s="16" t="s">
        <v>8</v>
      </c>
    </row>
    <row r="12" spans="2:2" ht="37.5" customHeight="1" x14ac:dyDescent="0.2">
      <c r="B12" s="16" t="s">
        <v>9</v>
      </c>
    </row>
    <row r="13" spans="2:2" ht="52.5" customHeight="1" x14ac:dyDescent="0.2">
      <c r="B13" s="16" t="s">
        <v>10</v>
      </c>
    </row>
    <row r="14" spans="2:2" ht="22.5" customHeight="1" x14ac:dyDescent="0.2">
      <c r="B14" s="16" t="s">
        <v>11</v>
      </c>
    </row>
    <row r="15" spans="2:2" ht="52.5" customHeight="1" x14ac:dyDescent="0.2">
      <c r="B15" s="16" t="s">
        <v>12</v>
      </c>
    </row>
    <row r="17" spans="2:2" x14ac:dyDescent="0.2">
      <c r="B17" s="15" t="s">
        <v>13</v>
      </c>
    </row>
    <row r="18" spans="2:2" ht="82.5" customHeight="1" x14ac:dyDescent="0.2">
      <c r="B18" s="16" t="s">
        <v>14</v>
      </c>
    </row>
    <row r="19" spans="2:2" ht="112.5" customHeight="1" x14ac:dyDescent="0.2">
      <c r="B19" s="16" t="s">
        <v>15</v>
      </c>
    </row>
    <row r="20" spans="2:2" ht="52.5" customHeight="1" x14ac:dyDescent="0.2">
      <c r="B20" s="16" t="s">
        <v>16</v>
      </c>
    </row>
    <row r="22" spans="2:2" x14ac:dyDescent="0.2">
      <c r="B22" s="15" t="s">
        <v>17</v>
      </c>
    </row>
    <row r="23" spans="2:2" ht="37.5" customHeight="1" x14ac:dyDescent="0.2">
      <c r="B23" s="16" t="s">
        <v>18</v>
      </c>
    </row>
    <row r="24" spans="2:2" ht="52.5" customHeight="1" x14ac:dyDescent="0.2">
      <c r="B24" s="16" t="s">
        <v>19</v>
      </c>
    </row>
    <row r="25" spans="2:2" ht="67.5" customHeight="1" x14ac:dyDescent="0.2">
      <c r="B25" s="16" t="s">
        <v>20</v>
      </c>
    </row>
    <row r="26" spans="2:2" ht="82.5" customHeight="1" x14ac:dyDescent="0.2">
      <c r="B26" s="16" t="s">
        <v>21</v>
      </c>
    </row>
    <row r="27" spans="2:2" ht="37.5" customHeight="1" x14ac:dyDescent="0.2">
      <c r="B27" s="16" t="s">
        <v>22</v>
      </c>
    </row>
    <row r="28" spans="2:2" ht="37.5" customHeight="1" x14ac:dyDescent="0.2">
      <c r="B28" s="16" t="s">
        <v>23</v>
      </c>
    </row>
    <row r="29" spans="2:2" ht="37.5" customHeight="1" x14ac:dyDescent="0.2">
      <c r="B29" s="16" t="s">
        <v>24</v>
      </c>
    </row>
    <row r="30" spans="2:2" ht="37.5" customHeight="1" x14ac:dyDescent="0.2">
      <c r="B30" s="16" t="s">
        <v>25</v>
      </c>
    </row>
    <row r="32" spans="2:2" x14ac:dyDescent="0.2">
      <c r="B32" s="15" t="s">
        <v>26</v>
      </c>
    </row>
    <row r="33" spans="2:2" ht="52.5" customHeight="1" x14ac:dyDescent="0.2">
      <c r="B33" s="16" t="s">
        <v>27</v>
      </c>
    </row>
    <row r="34" spans="2:2" ht="52.5" customHeight="1" x14ac:dyDescent="0.2">
      <c r="B34" s="16" t="s">
        <v>28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E40"/>
  <sheetViews>
    <sheetView showGridLines="0" topLeftCell="A9" zoomScaleNormal="100" workbookViewId="0"/>
  </sheetViews>
  <sheetFormatPr baseColWidth="10" defaultColWidth="8.6640625" defaultRowHeight="15" x14ac:dyDescent="0.2"/>
  <cols>
    <col min="1" max="1" width="3" customWidth="1"/>
    <col min="2" max="2" width="32" customWidth="1"/>
    <col min="3" max="4" width="14" customWidth="1"/>
    <col min="5" max="5" width="40" customWidth="1"/>
  </cols>
  <sheetData>
    <row r="2" spans="2:5" ht="19.5" customHeight="1" x14ac:dyDescent="0.2">
      <c r="B2" s="13" t="s">
        <v>29</v>
      </c>
    </row>
    <row r="3" spans="2:5" ht="24" customHeight="1" x14ac:dyDescent="0.2">
      <c r="B3" s="14" t="s">
        <v>30</v>
      </c>
    </row>
    <row r="5" spans="2:5" x14ac:dyDescent="0.2">
      <c r="B5" s="17" t="s">
        <v>31</v>
      </c>
    </row>
    <row r="6" spans="2:5" ht="24" customHeight="1" x14ac:dyDescent="0.2">
      <c r="B6" s="18" t="s">
        <v>32</v>
      </c>
      <c r="C6" s="18" t="s">
        <v>33</v>
      </c>
      <c r="D6" s="18" t="s">
        <v>34</v>
      </c>
      <c r="E6" s="18" t="s">
        <v>35</v>
      </c>
    </row>
    <row r="7" spans="2:5" x14ac:dyDescent="0.2">
      <c r="B7" t="s">
        <v>36</v>
      </c>
      <c r="C7" s="19">
        <v>1</v>
      </c>
      <c r="D7" s="19">
        <v>20000</v>
      </c>
      <c r="E7" s="20">
        <f>C7*D7</f>
        <v>20000</v>
      </c>
    </row>
    <row r="8" spans="2:5" x14ac:dyDescent="0.2">
      <c r="B8" s="21" t="s">
        <v>37</v>
      </c>
      <c r="C8" s="22">
        <v>1</v>
      </c>
      <c r="D8" s="22">
        <v>20000</v>
      </c>
      <c r="E8" s="23">
        <f>C8*D8</f>
        <v>20000</v>
      </c>
    </row>
    <row r="9" spans="2:5" x14ac:dyDescent="0.2">
      <c r="B9" t="s">
        <v>38</v>
      </c>
      <c r="C9" s="19">
        <v>1</v>
      </c>
      <c r="D9" s="19">
        <v>25000</v>
      </c>
      <c r="E9" s="20">
        <f>C9*D9</f>
        <v>25000</v>
      </c>
    </row>
    <row r="10" spans="2:5" x14ac:dyDescent="0.2">
      <c r="B10" s="21" t="s">
        <v>39</v>
      </c>
      <c r="C10" s="22">
        <v>6</v>
      </c>
      <c r="D10" s="22">
        <v>10000</v>
      </c>
      <c r="E10" s="23">
        <f>C10*D10</f>
        <v>60000</v>
      </c>
    </row>
    <row r="11" spans="2:5" x14ac:dyDescent="0.2">
      <c r="B11" s="24" t="s">
        <v>40</v>
      </c>
      <c r="E11" s="25">
        <f>SUM(E7:E10)</f>
        <v>125000</v>
      </c>
    </row>
    <row r="13" spans="2:5" x14ac:dyDescent="0.2">
      <c r="B13" s="17" t="s">
        <v>41</v>
      </c>
    </row>
    <row r="14" spans="2:5" ht="24" customHeight="1" x14ac:dyDescent="0.2">
      <c r="B14" s="18" t="s">
        <v>42</v>
      </c>
      <c r="C14" s="18"/>
      <c r="D14" s="18"/>
      <c r="E14" s="18" t="s">
        <v>43</v>
      </c>
    </row>
    <row r="15" spans="2:5" x14ac:dyDescent="0.2">
      <c r="B15" t="s">
        <v>44</v>
      </c>
      <c r="E15" s="19">
        <v>35000</v>
      </c>
    </row>
    <row r="16" spans="2:5" x14ac:dyDescent="0.2">
      <c r="B16" s="21" t="s">
        <v>45</v>
      </c>
      <c r="C16" s="21"/>
      <c r="D16" s="21"/>
      <c r="E16" s="22">
        <v>10000</v>
      </c>
    </row>
    <row r="17" spans="2:5" x14ac:dyDescent="0.2">
      <c r="B17" t="s">
        <v>46</v>
      </c>
      <c r="E17" s="19">
        <v>6000</v>
      </c>
    </row>
    <row r="18" spans="2:5" x14ac:dyDescent="0.2">
      <c r="B18" s="21" t="s">
        <v>47</v>
      </c>
      <c r="C18" s="21"/>
      <c r="D18" s="21"/>
      <c r="E18" s="22">
        <v>4000</v>
      </c>
    </row>
    <row r="19" spans="2:5" x14ac:dyDescent="0.2">
      <c r="B19" t="s">
        <v>48</v>
      </c>
      <c r="E19" s="19">
        <v>2000</v>
      </c>
    </row>
    <row r="20" spans="2:5" x14ac:dyDescent="0.2">
      <c r="B20" s="21" t="s">
        <v>49</v>
      </c>
      <c r="C20" s="21"/>
      <c r="D20" s="21"/>
      <c r="E20" s="22">
        <v>3000</v>
      </c>
    </row>
    <row r="21" spans="2:5" x14ac:dyDescent="0.2">
      <c r="B21" t="s">
        <v>50</v>
      </c>
      <c r="E21" s="19">
        <v>6000</v>
      </c>
    </row>
    <row r="22" spans="2:5" x14ac:dyDescent="0.2">
      <c r="B22" s="24" t="s">
        <v>51</v>
      </c>
      <c r="E22" s="25">
        <f>SUM(E15:E21)</f>
        <v>66000</v>
      </c>
    </row>
    <row r="24" spans="2:5" ht="16" x14ac:dyDescent="0.2">
      <c r="B24" s="26" t="s">
        <v>52</v>
      </c>
      <c r="E24" s="27">
        <f>E11+E22</f>
        <v>191000</v>
      </c>
    </row>
    <row r="25" spans="2:5" ht="25.5" customHeight="1" x14ac:dyDescent="0.2">
      <c r="B25" s="12" t="s">
        <v>53</v>
      </c>
      <c r="C25" s="12"/>
      <c r="D25" s="12"/>
      <c r="E25" s="12"/>
    </row>
    <row r="26" spans="2:5" ht="25.5" customHeight="1" x14ac:dyDescent="0.2">
      <c r="B26" s="12"/>
      <c r="C26" s="12"/>
      <c r="D26" s="12"/>
      <c r="E26" s="12"/>
    </row>
    <row r="28" spans="2:5" x14ac:dyDescent="0.2">
      <c r="B28" s="17" t="s">
        <v>54</v>
      </c>
    </row>
    <row r="29" spans="2:5" x14ac:dyDescent="0.2">
      <c r="B29" t="s">
        <v>55</v>
      </c>
      <c r="E29" s="19">
        <v>45000</v>
      </c>
    </row>
    <row r="30" spans="2:5" x14ac:dyDescent="0.2">
      <c r="B30" t="s">
        <v>56</v>
      </c>
      <c r="E30" s="19">
        <v>160000</v>
      </c>
    </row>
    <row r="32" spans="2:5" x14ac:dyDescent="0.2">
      <c r="B32" s="17" t="s">
        <v>57</v>
      </c>
    </row>
    <row r="33" spans="2:5" x14ac:dyDescent="0.2">
      <c r="B33" t="s">
        <v>58</v>
      </c>
      <c r="E33" s="19">
        <v>80000</v>
      </c>
    </row>
    <row r="34" spans="2:5" ht="33" customHeight="1" x14ac:dyDescent="0.2">
      <c r="B34" s="12" t="s">
        <v>59</v>
      </c>
      <c r="C34" s="12"/>
      <c r="D34" s="12"/>
      <c r="E34" s="12"/>
    </row>
    <row r="35" spans="2:5" ht="33" customHeight="1" x14ac:dyDescent="0.2">
      <c r="B35" s="12"/>
      <c r="C35" s="12"/>
      <c r="D35" s="12"/>
      <c r="E35" s="12"/>
    </row>
    <row r="36" spans="2:5" ht="36" customHeight="1" x14ac:dyDescent="0.2">
      <c r="B36" s="11" t="s">
        <v>60</v>
      </c>
      <c r="C36" s="11"/>
      <c r="D36" s="11"/>
      <c r="E36" s="11"/>
    </row>
    <row r="37" spans="2:5" ht="36" customHeight="1" x14ac:dyDescent="0.2">
      <c r="B37" s="11"/>
      <c r="C37" s="11"/>
      <c r="D37" s="11"/>
      <c r="E37" s="11"/>
    </row>
    <row r="38" spans="2:5" ht="36" customHeight="1" x14ac:dyDescent="0.2">
      <c r="B38" s="11"/>
      <c r="C38" s="11"/>
      <c r="D38" s="11"/>
      <c r="E38" s="11"/>
    </row>
    <row r="40" spans="2:5" ht="16" x14ac:dyDescent="0.2">
      <c r="B40" s="26" t="s">
        <v>61</v>
      </c>
      <c r="E40" s="27">
        <f>E24+E33</f>
        <v>271000</v>
      </c>
    </row>
  </sheetData>
  <mergeCells count="3">
    <mergeCell ref="B25:E26"/>
    <mergeCell ref="B34:E35"/>
    <mergeCell ref="B36:E38"/>
  </mergeCells>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J32"/>
  <sheetViews>
    <sheetView showGridLines="0" zoomScaleNormal="100" workbookViewId="0">
      <selection activeCell="H23" sqref="H23"/>
    </sheetView>
  </sheetViews>
  <sheetFormatPr baseColWidth="10" defaultColWidth="8.6640625" defaultRowHeight="15" x14ac:dyDescent="0.2"/>
  <cols>
    <col min="1" max="1" width="3" customWidth="1"/>
    <col min="2" max="2" width="20" customWidth="1"/>
    <col min="3" max="3" width="10" customWidth="1"/>
    <col min="4" max="4" width="9" customWidth="1"/>
    <col min="5" max="5" width="11" customWidth="1"/>
    <col min="6" max="6" width="10" customWidth="1"/>
    <col min="7" max="9" width="12" customWidth="1"/>
    <col min="10" max="10" width="11" customWidth="1"/>
  </cols>
  <sheetData>
    <row r="2" spans="2:10" ht="19.5" customHeight="1" x14ac:dyDescent="0.2">
      <c r="B2" s="13" t="s">
        <v>62</v>
      </c>
    </row>
    <row r="3" spans="2:10" ht="27.75" customHeight="1" x14ac:dyDescent="0.2">
      <c r="B3" s="14" t="s">
        <v>63</v>
      </c>
    </row>
    <row r="5" spans="2:10" ht="36" customHeight="1" x14ac:dyDescent="0.2">
      <c r="B5" s="18" t="s">
        <v>64</v>
      </c>
      <c r="C5" s="18" t="s">
        <v>65</v>
      </c>
      <c r="D5" s="18" t="s">
        <v>66</v>
      </c>
      <c r="E5" s="18" t="s">
        <v>67</v>
      </c>
      <c r="F5" s="18" t="s">
        <v>68</v>
      </c>
      <c r="G5" s="18" t="s">
        <v>69</v>
      </c>
      <c r="H5" s="18" t="s">
        <v>70</v>
      </c>
      <c r="I5" s="18" t="s">
        <v>71</v>
      </c>
      <c r="J5" s="18" t="s">
        <v>72</v>
      </c>
    </row>
    <row r="6" spans="2:10" x14ac:dyDescent="0.2">
      <c r="B6" s="24" t="s">
        <v>73</v>
      </c>
      <c r="C6" s="28" t="s">
        <v>74</v>
      </c>
      <c r="D6" s="29">
        <v>882</v>
      </c>
      <c r="E6" s="29">
        <v>24</v>
      </c>
      <c r="F6" s="30">
        <v>7.5025000000000004</v>
      </c>
      <c r="G6" s="30">
        <v>380</v>
      </c>
      <c r="H6" s="31">
        <f t="shared" ref="H6:H21" si="0">D6*G6</f>
        <v>335160</v>
      </c>
      <c r="I6" s="31">
        <f t="shared" ref="I6:I21" si="1">D6*E6*F6</f>
        <v>158812.92000000001</v>
      </c>
      <c r="J6" s="32" t="s">
        <v>75</v>
      </c>
    </row>
    <row r="7" spans="2:10" x14ac:dyDescent="0.2">
      <c r="B7" s="24" t="s">
        <v>76</v>
      </c>
      <c r="C7" s="28" t="s">
        <v>74</v>
      </c>
      <c r="D7" s="29">
        <v>176</v>
      </c>
      <c r="E7" s="29">
        <v>12</v>
      </c>
      <c r="F7" s="30">
        <v>12.675000000000001</v>
      </c>
      <c r="G7" s="30">
        <v>320</v>
      </c>
      <c r="H7" s="31">
        <f t="shared" si="0"/>
        <v>56320</v>
      </c>
      <c r="I7" s="31">
        <f t="shared" si="1"/>
        <v>26769.600000000002</v>
      </c>
      <c r="J7" s="32" t="s">
        <v>75</v>
      </c>
    </row>
    <row r="8" spans="2:10" x14ac:dyDescent="0.2">
      <c r="B8" s="24" t="s">
        <v>77</v>
      </c>
      <c r="C8" s="28" t="s">
        <v>74</v>
      </c>
      <c r="D8" s="29">
        <v>492</v>
      </c>
      <c r="E8" s="29">
        <v>12</v>
      </c>
      <c r="F8" s="30">
        <v>16.138300000000001</v>
      </c>
      <c r="G8" s="30">
        <v>410</v>
      </c>
      <c r="H8" s="31">
        <f t="shared" si="0"/>
        <v>201720</v>
      </c>
      <c r="I8" s="31">
        <f t="shared" si="1"/>
        <v>95280.523200000011</v>
      </c>
      <c r="J8" s="32" t="s">
        <v>75</v>
      </c>
    </row>
    <row r="9" spans="2:10" x14ac:dyDescent="0.2">
      <c r="B9" s="24" t="s">
        <v>78</v>
      </c>
      <c r="C9" s="28" t="s">
        <v>79</v>
      </c>
      <c r="D9" s="29">
        <v>88</v>
      </c>
      <c r="E9" s="29">
        <v>1</v>
      </c>
      <c r="F9" s="30">
        <v>44.674999999999997</v>
      </c>
      <c r="G9" s="30">
        <v>95</v>
      </c>
      <c r="H9" s="31">
        <f t="shared" si="0"/>
        <v>8360</v>
      </c>
      <c r="I9" s="31">
        <f t="shared" si="1"/>
        <v>3931.3999999999996</v>
      </c>
      <c r="J9" s="32" t="s">
        <v>75</v>
      </c>
    </row>
    <row r="10" spans="2:10" x14ac:dyDescent="0.2">
      <c r="B10" s="24" t="s">
        <v>80</v>
      </c>
      <c r="C10" s="28" t="s">
        <v>79</v>
      </c>
      <c r="D10" s="29">
        <v>29</v>
      </c>
      <c r="E10" s="29">
        <v>1</v>
      </c>
      <c r="F10" s="30">
        <v>76.91</v>
      </c>
      <c r="G10" s="30">
        <v>165</v>
      </c>
      <c r="H10" s="31">
        <f t="shared" si="0"/>
        <v>4785</v>
      </c>
      <c r="I10" s="31">
        <f t="shared" si="1"/>
        <v>2230.39</v>
      </c>
      <c r="J10" s="32" t="s">
        <v>75</v>
      </c>
    </row>
    <row r="11" spans="2:10" x14ac:dyDescent="0.2">
      <c r="B11" s="24" t="s">
        <v>81</v>
      </c>
      <c r="C11" s="28" t="s">
        <v>79</v>
      </c>
      <c r="D11" s="29">
        <v>64</v>
      </c>
      <c r="E11" s="29">
        <v>1</v>
      </c>
      <c r="F11" s="30">
        <v>139.21</v>
      </c>
      <c r="G11" s="30">
        <v>295</v>
      </c>
      <c r="H11" s="31">
        <f t="shared" si="0"/>
        <v>18880</v>
      </c>
      <c r="I11" s="31">
        <f t="shared" si="1"/>
        <v>8909.44</v>
      </c>
      <c r="J11" s="32" t="s">
        <v>75</v>
      </c>
    </row>
    <row r="12" spans="2:10" x14ac:dyDescent="0.2">
      <c r="B12" s="33" t="s">
        <v>82</v>
      </c>
      <c r="C12" s="34" t="s">
        <v>74</v>
      </c>
      <c r="D12" s="35">
        <v>141</v>
      </c>
      <c r="E12" s="35">
        <v>24</v>
      </c>
      <c r="F12" s="36">
        <v>10.782500000000001</v>
      </c>
      <c r="G12" s="36">
        <v>545</v>
      </c>
      <c r="H12" s="37">
        <f t="shared" si="0"/>
        <v>76845</v>
      </c>
      <c r="I12" s="37">
        <f t="shared" si="1"/>
        <v>36487.980000000003</v>
      </c>
      <c r="J12" s="38" t="s">
        <v>83</v>
      </c>
    </row>
    <row r="13" spans="2:10" x14ac:dyDescent="0.2">
      <c r="B13" s="33" t="s">
        <v>84</v>
      </c>
      <c r="C13" s="34" t="s">
        <v>74</v>
      </c>
      <c r="D13" s="35">
        <v>3</v>
      </c>
      <c r="E13" s="35">
        <v>12</v>
      </c>
      <c r="F13" s="36">
        <v>19.645</v>
      </c>
      <c r="G13" s="36">
        <v>500</v>
      </c>
      <c r="H13" s="37">
        <f t="shared" si="0"/>
        <v>1500</v>
      </c>
      <c r="I13" s="37">
        <f t="shared" si="1"/>
        <v>707.22</v>
      </c>
      <c r="J13" s="38" t="s">
        <v>83</v>
      </c>
    </row>
    <row r="14" spans="2:10" x14ac:dyDescent="0.2">
      <c r="B14" s="24" t="s">
        <v>85</v>
      </c>
      <c r="C14" s="28" t="s">
        <v>79</v>
      </c>
      <c r="D14" s="29">
        <v>21</v>
      </c>
      <c r="E14" s="29">
        <v>1</v>
      </c>
      <c r="F14" s="30">
        <v>0</v>
      </c>
      <c r="G14" s="30">
        <v>50</v>
      </c>
      <c r="H14" s="31">
        <f t="shared" si="0"/>
        <v>1050</v>
      </c>
      <c r="I14" s="31">
        <f t="shared" si="1"/>
        <v>0</v>
      </c>
      <c r="J14" s="32" t="s">
        <v>75</v>
      </c>
    </row>
    <row r="15" spans="2:10" x14ac:dyDescent="0.2">
      <c r="B15" s="24" t="s">
        <v>86</v>
      </c>
      <c r="C15" s="28" t="s">
        <v>79</v>
      </c>
      <c r="D15" s="29">
        <v>25</v>
      </c>
      <c r="E15" s="29">
        <v>1</v>
      </c>
      <c r="F15" s="30">
        <v>0</v>
      </c>
      <c r="G15" s="30">
        <v>120</v>
      </c>
      <c r="H15" s="31">
        <f t="shared" si="0"/>
        <v>3000</v>
      </c>
      <c r="I15" s="31">
        <f t="shared" si="1"/>
        <v>0</v>
      </c>
      <c r="J15" s="32" t="s">
        <v>75</v>
      </c>
    </row>
    <row r="16" spans="2:10" x14ac:dyDescent="0.2">
      <c r="B16" s="24" t="s">
        <v>87</v>
      </c>
      <c r="C16" s="28" t="s">
        <v>79</v>
      </c>
      <c r="D16" s="29">
        <v>143</v>
      </c>
      <c r="E16" s="29">
        <v>1</v>
      </c>
      <c r="F16" s="30">
        <v>0</v>
      </c>
      <c r="G16" s="30">
        <v>220</v>
      </c>
      <c r="H16" s="31">
        <f t="shared" si="0"/>
        <v>31460</v>
      </c>
      <c r="I16" s="31">
        <f t="shared" si="1"/>
        <v>0</v>
      </c>
      <c r="J16" s="32" t="s">
        <v>75</v>
      </c>
    </row>
    <row r="17" spans="2:10" x14ac:dyDescent="0.2">
      <c r="B17" s="24" t="s">
        <v>88</v>
      </c>
      <c r="C17" s="28" t="s">
        <v>74</v>
      </c>
      <c r="D17" s="29">
        <v>43</v>
      </c>
      <c r="E17" s="29">
        <v>24</v>
      </c>
      <c r="F17" s="30">
        <v>7.5025000000000004</v>
      </c>
      <c r="G17" s="30">
        <v>380</v>
      </c>
      <c r="H17" s="31">
        <f t="shared" si="0"/>
        <v>16340</v>
      </c>
      <c r="I17" s="31">
        <f t="shared" si="1"/>
        <v>7742.5800000000008</v>
      </c>
      <c r="J17" s="32" t="s">
        <v>75</v>
      </c>
    </row>
    <row r="18" spans="2:10" x14ac:dyDescent="0.2">
      <c r="B18" s="33" t="s">
        <v>89</v>
      </c>
      <c r="C18" s="34" t="s">
        <v>74</v>
      </c>
      <c r="D18" s="35">
        <v>165</v>
      </c>
      <c r="E18" s="35">
        <v>24</v>
      </c>
      <c r="F18" s="36">
        <v>10.782500000000001</v>
      </c>
      <c r="G18" s="36">
        <v>424.23</v>
      </c>
      <c r="H18" s="37">
        <f t="shared" si="0"/>
        <v>69997.95</v>
      </c>
      <c r="I18" s="37">
        <f t="shared" si="1"/>
        <v>42698.700000000004</v>
      </c>
      <c r="J18" s="38" t="s">
        <v>83</v>
      </c>
    </row>
    <row r="19" spans="2:10" x14ac:dyDescent="0.2">
      <c r="B19" s="33" t="s">
        <v>90</v>
      </c>
      <c r="C19" s="34" t="s">
        <v>74</v>
      </c>
      <c r="D19" s="35">
        <v>134</v>
      </c>
      <c r="E19" s="35">
        <v>12</v>
      </c>
      <c r="F19" s="36">
        <v>19.645</v>
      </c>
      <c r="G19" s="36">
        <v>389.2</v>
      </c>
      <c r="H19" s="37">
        <f t="shared" si="0"/>
        <v>52152.799999999996</v>
      </c>
      <c r="I19" s="37">
        <f t="shared" si="1"/>
        <v>31589.16</v>
      </c>
      <c r="J19" s="38" t="s">
        <v>83</v>
      </c>
    </row>
    <row r="20" spans="2:10" x14ac:dyDescent="0.2">
      <c r="B20" s="33" t="s">
        <v>91</v>
      </c>
      <c r="C20" s="34" t="s">
        <v>74</v>
      </c>
      <c r="D20" s="35">
        <v>30</v>
      </c>
      <c r="E20" s="35">
        <v>24</v>
      </c>
      <c r="F20" s="36">
        <v>7.5025000000000004</v>
      </c>
      <c r="G20" s="36">
        <v>380</v>
      </c>
      <c r="H20" s="37">
        <f t="shared" si="0"/>
        <v>11400</v>
      </c>
      <c r="I20" s="37">
        <f t="shared" si="1"/>
        <v>5401.8</v>
      </c>
      <c r="J20" s="38" t="s">
        <v>83</v>
      </c>
    </row>
    <row r="21" spans="2:10" x14ac:dyDescent="0.2">
      <c r="B21" s="33" t="s">
        <v>92</v>
      </c>
      <c r="C21" s="34" t="s">
        <v>74</v>
      </c>
      <c r="D21" s="35">
        <v>30</v>
      </c>
      <c r="E21" s="35">
        <v>12</v>
      </c>
      <c r="F21" s="36">
        <v>12.675000000000001</v>
      </c>
      <c r="G21" s="36">
        <v>320</v>
      </c>
      <c r="H21" s="37">
        <f t="shared" si="0"/>
        <v>9600</v>
      </c>
      <c r="I21" s="37">
        <f t="shared" si="1"/>
        <v>4563</v>
      </c>
      <c r="J21" s="38" t="s">
        <v>83</v>
      </c>
    </row>
    <row r="22" spans="2:10" x14ac:dyDescent="0.2">
      <c r="B22" s="39" t="s">
        <v>93</v>
      </c>
      <c r="H22" s="40">
        <f>SUM(H6:H21)</f>
        <v>898570.75</v>
      </c>
      <c r="I22" s="40">
        <f>SUM(I6:I21)</f>
        <v>425124.7132</v>
      </c>
    </row>
    <row r="23" spans="2:10" x14ac:dyDescent="0.2">
      <c r="B23" s="39" t="s">
        <v>94</v>
      </c>
      <c r="H23" s="25">
        <f>SUMIF(J6:J21,"KEPT",H6:H21)</f>
        <v>677075</v>
      </c>
      <c r="I23" s="25">
        <f>SUMIF(J6:J21,"KEPT",I6:I21)</f>
        <v>303676.85320000007</v>
      </c>
    </row>
    <row r="24" spans="2:10" x14ac:dyDescent="0.2">
      <c r="B24" s="39" t="s">
        <v>95</v>
      </c>
      <c r="H24" s="41">
        <f>(H23-I23)/H23</f>
        <v>0.55148712742310668</v>
      </c>
    </row>
    <row r="25" spans="2:10" x14ac:dyDescent="0.2">
      <c r="B25" s="39" t="s">
        <v>96</v>
      </c>
      <c r="H25" s="41">
        <f>H23/H22</f>
        <v>0.75350215884503247</v>
      </c>
    </row>
    <row r="27" spans="2:10" x14ac:dyDescent="0.2">
      <c r="B27" s="39" t="s">
        <v>97</v>
      </c>
      <c r="D27" s="19">
        <v>20</v>
      </c>
    </row>
    <row r="28" spans="2:10" x14ac:dyDescent="0.2">
      <c r="B28" s="39" t="s">
        <v>98</v>
      </c>
      <c r="H28" s="20">
        <f>H23/D27</f>
        <v>33853.75</v>
      </c>
      <c r="I28" s="20">
        <f>I23/D27</f>
        <v>15183.842660000004</v>
      </c>
    </row>
    <row r="30" spans="2:10" ht="21.75" customHeight="1" x14ac:dyDescent="0.2">
      <c r="B30" s="12" t="s">
        <v>99</v>
      </c>
      <c r="C30" s="12"/>
      <c r="D30" s="12"/>
      <c r="E30" s="12"/>
      <c r="F30" s="12"/>
      <c r="G30" s="12"/>
      <c r="H30" s="12"/>
      <c r="I30" s="12"/>
      <c r="J30" s="12"/>
    </row>
    <row r="31" spans="2:10" ht="21.75" customHeight="1" x14ac:dyDescent="0.2">
      <c r="B31" s="12"/>
      <c r="C31" s="12"/>
      <c r="D31" s="12"/>
      <c r="E31" s="12"/>
      <c r="F31" s="12"/>
      <c r="G31" s="12"/>
      <c r="H31" s="12"/>
      <c r="I31" s="12"/>
      <c r="J31" s="12"/>
    </row>
    <row r="32" spans="2:10" ht="21.75" customHeight="1" x14ac:dyDescent="0.2">
      <c r="B32" s="12"/>
      <c r="C32" s="12"/>
      <c r="D32" s="12"/>
      <c r="E32" s="12"/>
      <c r="F32" s="12"/>
      <c r="G32" s="12"/>
      <c r="H32" s="12"/>
      <c r="I32" s="12"/>
      <c r="J32" s="12"/>
    </row>
  </sheetData>
  <mergeCells count="1">
    <mergeCell ref="B30:J32"/>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S54"/>
  <sheetViews>
    <sheetView showGridLines="0" topLeftCell="A31" zoomScaleNormal="100" workbookViewId="0">
      <selection activeCell="H52" sqref="H52"/>
    </sheetView>
  </sheetViews>
  <sheetFormatPr baseColWidth="10" defaultColWidth="8.6640625" defaultRowHeight="15" x14ac:dyDescent="0.2"/>
  <cols>
    <col min="1" max="1" width="3" customWidth="1"/>
    <col min="2" max="2" width="48.33203125" customWidth="1"/>
    <col min="3" max="3" width="12.1640625" customWidth="1"/>
    <col min="4" max="4" width="13.33203125" customWidth="1"/>
    <col min="5" max="5" width="12.5" customWidth="1"/>
    <col min="6" max="6" width="12" customWidth="1"/>
    <col min="7" max="9" width="13" customWidth="1"/>
    <col min="10" max="14" width="10" customWidth="1"/>
    <col min="15" max="19" width="12" customWidth="1"/>
  </cols>
  <sheetData>
    <row r="2" spans="2:19" ht="19.5" customHeight="1" x14ac:dyDescent="0.2">
      <c r="B2" s="13" t="s">
        <v>100</v>
      </c>
    </row>
    <row r="3" spans="2:19" ht="39.75" customHeight="1" x14ac:dyDescent="0.2">
      <c r="B3" s="14" t="s">
        <v>101</v>
      </c>
    </row>
    <row r="5" spans="2:19" ht="33.75" customHeight="1" x14ac:dyDescent="0.2">
      <c r="B5" s="18" t="s">
        <v>64</v>
      </c>
      <c r="C5" s="18" t="s">
        <v>65</v>
      </c>
      <c r="D5" s="18" t="s">
        <v>102</v>
      </c>
      <c r="E5" s="18" t="s">
        <v>103</v>
      </c>
      <c r="F5" s="18" t="s">
        <v>104</v>
      </c>
      <c r="G5" s="18" t="s">
        <v>105</v>
      </c>
      <c r="H5" s="18" t="s">
        <v>106</v>
      </c>
      <c r="I5" s="18" t="s">
        <v>107</v>
      </c>
      <c r="J5" s="18" t="s">
        <v>108</v>
      </c>
      <c r="K5" s="18" t="s">
        <v>109</v>
      </c>
      <c r="L5" s="18" t="s">
        <v>110</v>
      </c>
      <c r="M5" s="18" t="s">
        <v>111</v>
      </c>
      <c r="N5" s="18" t="s">
        <v>112</v>
      </c>
      <c r="O5" s="18" t="s">
        <v>113</v>
      </c>
      <c r="P5" s="18" t="s">
        <v>114</v>
      </c>
      <c r="Q5" s="18" t="s">
        <v>115</v>
      </c>
      <c r="R5" s="18" t="s">
        <v>116</v>
      </c>
      <c r="S5" s="18" t="s">
        <v>117</v>
      </c>
    </row>
    <row r="6" spans="2:19" x14ac:dyDescent="0.2">
      <c r="B6" s="39" t="s">
        <v>73</v>
      </c>
      <c r="C6" s="42" t="s">
        <v>118</v>
      </c>
      <c r="D6" s="43">
        <v>0.52300000000000002</v>
      </c>
      <c r="E6" s="19">
        <v>465</v>
      </c>
      <c r="F6" s="20">
        <f>E6*24</f>
        <v>11160</v>
      </c>
      <c r="G6" s="19">
        <v>83727.899999999994</v>
      </c>
      <c r="H6" s="19">
        <v>176700</v>
      </c>
      <c r="I6" s="20">
        <f t="shared" ref="I6:I12" si="0">H6-G6</f>
        <v>92972.1</v>
      </c>
      <c r="J6" s="43">
        <f t="shared" ref="J6:J13" si="1">I6/H6</f>
        <v>0.52615789473684216</v>
      </c>
      <c r="K6" s="19">
        <v>5.87</v>
      </c>
      <c r="L6" s="19">
        <v>0.55000000000000004</v>
      </c>
      <c r="M6" s="19">
        <v>0.27</v>
      </c>
      <c r="N6" s="19">
        <v>0.81</v>
      </c>
      <c r="O6" s="20">
        <f t="shared" ref="O6:O12" si="2">K6*F6</f>
        <v>65509.200000000004</v>
      </c>
      <c r="P6" s="20">
        <f t="shared" ref="P6:P12" si="3">L6*F6</f>
        <v>6138.0000000000009</v>
      </c>
      <c r="Q6" s="20">
        <f t="shared" ref="Q6:Q12" si="4">M6*F6</f>
        <v>3013.2000000000003</v>
      </c>
      <c r="R6" s="20">
        <f t="shared" ref="R6:R12" si="5">N6*F6</f>
        <v>9039.6</v>
      </c>
      <c r="S6" s="44">
        <f t="shared" ref="S6:S12" si="6">SUM(O6:R6)</f>
        <v>83700.000000000015</v>
      </c>
    </row>
    <row r="7" spans="2:19" x14ac:dyDescent="0.2">
      <c r="B7" s="45" t="s">
        <v>76</v>
      </c>
      <c r="C7" s="21" t="s">
        <v>119</v>
      </c>
      <c r="D7" s="46">
        <v>8.8200000000000001E-2</v>
      </c>
      <c r="E7" s="22">
        <v>93</v>
      </c>
      <c r="F7" s="23">
        <f>E7*12</f>
        <v>1116</v>
      </c>
      <c r="G7" s="22">
        <v>14145.3</v>
      </c>
      <c r="H7" s="22">
        <v>29760</v>
      </c>
      <c r="I7" s="23">
        <f t="shared" si="0"/>
        <v>15614.7</v>
      </c>
      <c r="J7" s="46">
        <f t="shared" si="1"/>
        <v>0.52468749999999997</v>
      </c>
      <c r="K7" s="22">
        <v>9.73</v>
      </c>
      <c r="L7" s="22">
        <v>0.8</v>
      </c>
      <c r="M7" s="22">
        <v>0.27</v>
      </c>
      <c r="N7" s="22">
        <v>1.88</v>
      </c>
      <c r="O7" s="23">
        <f t="shared" si="2"/>
        <v>10858.68</v>
      </c>
      <c r="P7" s="23">
        <f t="shared" si="3"/>
        <v>892.80000000000007</v>
      </c>
      <c r="Q7" s="23">
        <f t="shared" si="4"/>
        <v>301.32</v>
      </c>
      <c r="R7" s="23">
        <f t="shared" si="5"/>
        <v>2098.08</v>
      </c>
      <c r="S7" s="47">
        <f t="shared" si="6"/>
        <v>14150.88</v>
      </c>
    </row>
    <row r="8" spans="2:19" x14ac:dyDescent="0.2">
      <c r="B8" s="39" t="s">
        <v>77</v>
      </c>
      <c r="C8" s="42" t="s">
        <v>119</v>
      </c>
      <c r="D8" s="43">
        <v>0.31380000000000002</v>
      </c>
      <c r="E8" s="19">
        <v>260</v>
      </c>
      <c r="F8" s="20">
        <f>E8*12</f>
        <v>3120</v>
      </c>
      <c r="G8" s="19">
        <v>50351.59</v>
      </c>
      <c r="H8" s="19">
        <v>106600</v>
      </c>
      <c r="I8" s="20">
        <f t="shared" si="0"/>
        <v>56248.41</v>
      </c>
      <c r="J8" s="43">
        <f t="shared" si="1"/>
        <v>0.5276586303939963</v>
      </c>
      <c r="K8" s="19">
        <v>12.96</v>
      </c>
      <c r="L8" s="19">
        <v>0.95</v>
      </c>
      <c r="M8" s="19">
        <v>0.27</v>
      </c>
      <c r="N8" s="19">
        <v>1.96</v>
      </c>
      <c r="O8" s="20">
        <f t="shared" si="2"/>
        <v>40435.200000000004</v>
      </c>
      <c r="P8" s="20">
        <f t="shared" si="3"/>
        <v>2964</v>
      </c>
      <c r="Q8" s="20">
        <f t="shared" si="4"/>
        <v>842.40000000000009</v>
      </c>
      <c r="R8" s="20">
        <f t="shared" si="5"/>
        <v>6115.2</v>
      </c>
      <c r="S8" s="44">
        <f t="shared" si="6"/>
        <v>50356.800000000003</v>
      </c>
    </row>
    <row r="9" spans="2:19" x14ac:dyDescent="0.2">
      <c r="B9" s="45" t="s">
        <v>78</v>
      </c>
      <c r="C9" s="21" t="s">
        <v>79</v>
      </c>
      <c r="D9" s="46">
        <v>1.29E-2</v>
      </c>
      <c r="E9" s="22">
        <v>47</v>
      </c>
      <c r="F9" s="23">
        <f>E9*1</f>
        <v>47</v>
      </c>
      <c r="G9" s="22">
        <v>2099.7199999999998</v>
      </c>
      <c r="H9" s="22">
        <v>4465</v>
      </c>
      <c r="I9" s="23">
        <f t="shared" si="0"/>
        <v>2365.2800000000002</v>
      </c>
      <c r="J9" s="46">
        <f t="shared" si="1"/>
        <v>0.5297379619260919</v>
      </c>
      <c r="K9" s="22">
        <v>35.299999999999997</v>
      </c>
      <c r="L9" s="22">
        <v>3</v>
      </c>
      <c r="M9" s="22">
        <v>0.5</v>
      </c>
      <c r="N9" s="22">
        <v>5.88</v>
      </c>
      <c r="O9" s="23">
        <f t="shared" si="2"/>
        <v>1659.1</v>
      </c>
      <c r="P9" s="23">
        <f t="shared" si="3"/>
        <v>141</v>
      </c>
      <c r="Q9" s="23">
        <f t="shared" si="4"/>
        <v>23.5</v>
      </c>
      <c r="R9" s="23">
        <f t="shared" si="5"/>
        <v>276.36</v>
      </c>
      <c r="S9" s="47">
        <f t="shared" si="6"/>
        <v>2099.96</v>
      </c>
    </row>
    <row r="10" spans="2:19" x14ac:dyDescent="0.2">
      <c r="B10" s="39" t="s">
        <v>80</v>
      </c>
      <c r="C10" s="42" t="s">
        <v>79</v>
      </c>
      <c r="D10" s="43">
        <v>7.3000000000000001E-3</v>
      </c>
      <c r="E10" s="19">
        <v>16</v>
      </c>
      <c r="F10" s="20">
        <f>E10*1</f>
        <v>16</v>
      </c>
      <c r="G10" s="19">
        <v>1230.56</v>
      </c>
      <c r="H10" s="19">
        <v>2640</v>
      </c>
      <c r="I10" s="20">
        <f t="shared" si="0"/>
        <v>1409.44</v>
      </c>
      <c r="J10" s="43">
        <f t="shared" si="1"/>
        <v>0.53387878787878795</v>
      </c>
      <c r="K10" s="19">
        <v>73.099999999999994</v>
      </c>
      <c r="L10" s="19">
        <v>3</v>
      </c>
      <c r="M10" s="19">
        <v>0.81</v>
      </c>
      <c r="N10" s="19">
        <v>0</v>
      </c>
      <c r="O10" s="20">
        <f t="shared" si="2"/>
        <v>1169.5999999999999</v>
      </c>
      <c r="P10" s="20">
        <f t="shared" si="3"/>
        <v>48</v>
      </c>
      <c r="Q10" s="20">
        <f t="shared" si="4"/>
        <v>12.96</v>
      </c>
      <c r="R10" s="20">
        <f t="shared" si="5"/>
        <v>0</v>
      </c>
      <c r="S10" s="44">
        <f t="shared" si="6"/>
        <v>1230.56</v>
      </c>
    </row>
    <row r="11" spans="2:19" x14ac:dyDescent="0.2">
      <c r="B11" s="45" t="s">
        <v>81</v>
      </c>
      <c r="C11" s="21" t="s">
        <v>79</v>
      </c>
      <c r="D11" s="46">
        <v>2.93E-2</v>
      </c>
      <c r="E11" s="22">
        <v>34</v>
      </c>
      <c r="F11" s="23">
        <f>E11*1</f>
        <v>34</v>
      </c>
      <c r="G11" s="22">
        <v>4733.1400000000003</v>
      </c>
      <c r="H11" s="22">
        <v>10030</v>
      </c>
      <c r="I11" s="23">
        <f t="shared" si="0"/>
        <v>5296.86</v>
      </c>
      <c r="J11" s="46">
        <f t="shared" si="1"/>
        <v>0.52810169491525416</v>
      </c>
      <c r="K11" s="22">
        <v>135.4</v>
      </c>
      <c r="L11" s="22">
        <v>3</v>
      </c>
      <c r="M11" s="22">
        <v>0.81</v>
      </c>
      <c r="N11" s="22">
        <v>0</v>
      </c>
      <c r="O11" s="23">
        <f t="shared" si="2"/>
        <v>4603.6000000000004</v>
      </c>
      <c r="P11" s="23">
        <f t="shared" si="3"/>
        <v>102</v>
      </c>
      <c r="Q11" s="23">
        <f t="shared" si="4"/>
        <v>27.540000000000003</v>
      </c>
      <c r="R11" s="23">
        <f t="shared" si="5"/>
        <v>0</v>
      </c>
      <c r="S11" s="47">
        <f t="shared" si="6"/>
        <v>4733.1400000000003</v>
      </c>
    </row>
    <row r="12" spans="2:19" x14ac:dyDescent="0.2">
      <c r="B12" s="39" t="s">
        <v>88</v>
      </c>
      <c r="C12" s="42" t="s">
        <v>118</v>
      </c>
      <c r="D12" s="43">
        <v>2.5499999999999998E-2</v>
      </c>
      <c r="E12" s="19">
        <v>23</v>
      </c>
      <c r="F12" s="20">
        <f>E12*24</f>
        <v>552</v>
      </c>
      <c r="G12" s="19">
        <v>4141.38</v>
      </c>
      <c r="H12" s="19">
        <v>8740</v>
      </c>
      <c r="I12" s="20">
        <f t="shared" si="0"/>
        <v>4598.62</v>
      </c>
      <c r="J12" s="43">
        <f t="shared" si="1"/>
        <v>0.52615789473684205</v>
      </c>
      <c r="K12" s="19">
        <v>5.87</v>
      </c>
      <c r="L12" s="19">
        <v>0.55000000000000004</v>
      </c>
      <c r="M12" s="19">
        <v>0.27</v>
      </c>
      <c r="N12" s="19">
        <v>0.81</v>
      </c>
      <c r="O12" s="20">
        <f t="shared" si="2"/>
        <v>3240.2400000000002</v>
      </c>
      <c r="P12" s="20">
        <f t="shared" si="3"/>
        <v>303.60000000000002</v>
      </c>
      <c r="Q12" s="20">
        <f t="shared" si="4"/>
        <v>149.04000000000002</v>
      </c>
      <c r="R12" s="20">
        <f t="shared" si="5"/>
        <v>447.12</v>
      </c>
      <c r="S12" s="44">
        <f t="shared" si="6"/>
        <v>4140</v>
      </c>
    </row>
    <row r="13" spans="2:19" x14ac:dyDescent="0.2">
      <c r="B13" s="39" t="s">
        <v>120</v>
      </c>
      <c r="F13" s="25">
        <f>SUM(F6:F12)</f>
        <v>16045</v>
      </c>
      <c r="G13" s="25">
        <f>SUM(G6:G12)</f>
        <v>160429.59</v>
      </c>
      <c r="H13" s="88">
        <f>SUM(H6:H12)</f>
        <v>338935</v>
      </c>
      <c r="I13" s="83">
        <f>SUM(I6:I12)</f>
        <v>178505.41</v>
      </c>
      <c r="J13" s="84">
        <f t="shared" si="1"/>
        <v>0.52666561435083425</v>
      </c>
      <c r="O13" s="25">
        <f>SUM(O6:O12)</f>
        <v>127475.62000000004</v>
      </c>
      <c r="P13" s="25">
        <f>SUM(P6:P12)</f>
        <v>10589.400000000001</v>
      </c>
      <c r="Q13" s="25">
        <f>SUM(Q6:Q12)</f>
        <v>4369.96</v>
      </c>
      <c r="R13" s="25">
        <f>SUM(R6:R12)</f>
        <v>17976.36</v>
      </c>
      <c r="S13" s="25">
        <f>SUM(S6:S12)</f>
        <v>160411.34000000003</v>
      </c>
    </row>
    <row r="14" spans="2:19" ht="25.5" customHeight="1" x14ac:dyDescent="0.2">
      <c r="B14" s="12" t="s">
        <v>121</v>
      </c>
      <c r="C14" s="12"/>
      <c r="D14" s="12"/>
      <c r="E14" s="12"/>
      <c r="F14" s="12"/>
      <c r="G14" s="12"/>
      <c r="H14" s="12"/>
      <c r="I14" s="12"/>
      <c r="J14" s="12"/>
      <c r="K14" s="12"/>
      <c r="L14" s="12"/>
      <c r="M14" s="12"/>
      <c r="N14" s="12"/>
      <c r="O14" s="12"/>
      <c r="P14" s="12"/>
      <c r="Q14" s="12"/>
      <c r="R14" s="12"/>
      <c r="S14" s="12"/>
    </row>
    <row r="15" spans="2:19" ht="25.5" customHeight="1" x14ac:dyDescent="0.2">
      <c r="B15" s="12"/>
      <c r="C15" s="12"/>
      <c r="D15" s="12"/>
      <c r="E15" s="12"/>
      <c r="F15" s="12"/>
      <c r="G15" s="12"/>
      <c r="H15" s="12"/>
      <c r="I15" s="12"/>
      <c r="J15" s="12"/>
      <c r="K15" s="12"/>
      <c r="L15" s="12"/>
      <c r="M15" s="12"/>
      <c r="N15" s="12"/>
      <c r="O15" s="12"/>
      <c r="P15" s="12"/>
      <c r="Q15" s="12"/>
      <c r="R15" s="12"/>
      <c r="S15" s="12"/>
    </row>
    <row r="17" spans="2:10" x14ac:dyDescent="0.2">
      <c r="B17" s="17" t="s">
        <v>122</v>
      </c>
    </row>
    <row r="18" spans="2:10" ht="33.75" customHeight="1" x14ac:dyDescent="0.2">
      <c r="B18" s="18" t="s">
        <v>64</v>
      </c>
      <c r="C18" s="18"/>
      <c r="D18" s="18"/>
      <c r="E18" s="18" t="s">
        <v>123</v>
      </c>
      <c r="F18" s="18"/>
      <c r="G18" s="18"/>
      <c r="H18" s="18" t="s">
        <v>106</v>
      </c>
      <c r="I18" s="18"/>
      <c r="J18" s="18"/>
    </row>
    <row r="19" spans="2:10" x14ac:dyDescent="0.2">
      <c r="B19" s="39" t="s">
        <v>85</v>
      </c>
      <c r="E19" s="19">
        <v>11</v>
      </c>
      <c r="H19" s="20">
        <f>E19*50</f>
        <v>550</v>
      </c>
    </row>
    <row r="20" spans="2:10" x14ac:dyDescent="0.2">
      <c r="B20" s="45" t="s">
        <v>86</v>
      </c>
      <c r="C20" s="21"/>
      <c r="D20" s="21"/>
      <c r="E20" s="22">
        <v>13</v>
      </c>
      <c r="F20" s="21"/>
      <c r="G20" s="21"/>
      <c r="H20" s="23">
        <f>E20*120</f>
        <v>1560</v>
      </c>
      <c r="I20" s="21"/>
      <c r="J20" s="21"/>
    </row>
    <row r="21" spans="2:10" x14ac:dyDescent="0.2">
      <c r="B21" s="39" t="s">
        <v>87</v>
      </c>
      <c r="E21" s="19">
        <v>75</v>
      </c>
      <c r="H21" s="20">
        <f>E21*220</f>
        <v>16500</v>
      </c>
    </row>
    <row r="22" spans="2:10" x14ac:dyDescent="0.2">
      <c r="B22" s="39" t="s">
        <v>124</v>
      </c>
      <c r="H22" s="25">
        <f>SUM(H19:H21)</f>
        <v>18610</v>
      </c>
    </row>
    <row r="24" spans="2:10" ht="16" x14ac:dyDescent="0.2">
      <c r="B24" s="48" t="s">
        <v>125</v>
      </c>
      <c r="F24" s="49">
        <f>F13</f>
        <v>16045</v>
      </c>
      <c r="G24" s="27">
        <f>G13</f>
        <v>160429.59</v>
      </c>
      <c r="H24" s="87">
        <f>H13+H22</f>
        <v>357545</v>
      </c>
      <c r="I24" s="85">
        <f>H24-G24</f>
        <v>197115.41</v>
      </c>
      <c r="J24" s="86">
        <f>I24/H24</f>
        <v>0.55130238151841027</v>
      </c>
    </row>
    <row r="26" spans="2:10" x14ac:dyDescent="0.2">
      <c r="B26" s="39" t="s">
        <v>126</v>
      </c>
      <c r="F26" s="20">
        <f>'Premium-Only Mix vs September'!I28</f>
        <v>15183.842660000004</v>
      </c>
      <c r="G26" s="42" t="s">
        <v>127</v>
      </c>
    </row>
    <row r="27" spans="2:10" x14ac:dyDescent="0.2">
      <c r="B27" s="39" t="s">
        <v>128</v>
      </c>
      <c r="F27" s="50">
        <f>G13/F26</f>
        <v>10.565809564309589</v>
      </c>
      <c r="G27" s="42" t="s">
        <v>129</v>
      </c>
    </row>
    <row r="29" spans="2:10" ht="21.75" customHeight="1" x14ac:dyDescent="0.2">
      <c r="B29" s="12" t="s">
        <v>130</v>
      </c>
      <c r="C29" s="12"/>
      <c r="D29" s="12"/>
      <c r="E29" s="12"/>
      <c r="F29" s="12"/>
      <c r="G29" s="12"/>
      <c r="H29" s="12"/>
      <c r="I29" s="12"/>
      <c r="J29" s="12"/>
    </row>
    <row r="30" spans="2:10" ht="21.75" customHeight="1" x14ac:dyDescent="0.2">
      <c r="B30" s="12"/>
      <c r="C30" s="12"/>
      <c r="D30" s="12"/>
      <c r="E30" s="12"/>
      <c r="F30" s="12"/>
      <c r="G30" s="12"/>
      <c r="H30" s="12"/>
      <c r="I30" s="12"/>
      <c r="J30" s="12"/>
    </row>
    <row r="31" spans="2:10" ht="21.75" customHeight="1" x14ac:dyDescent="0.2">
      <c r="B31" s="12"/>
      <c r="C31" s="12"/>
      <c r="D31" s="12"/>
      <c r="E31" s="12"/>
      <c r="F31" s="12"/>
      <c r="G31" s="12"/>
      <c r="H31" s="12"/>
      <c r="I31" s="12"/>
      <c r="J31" s="12"/>
    </row>
    <row r="33" spans="2:6" x14ac:dyDescent="0.2">
      <c r="B33" s="17" t="s">
        <v>131</v>
      </c>
    </row>
    <row r="34" spans="2:6" ht="31.5" customHeight="1" x14ac:dyDescent="0.2">
      <c r="B34" s="11" t="s">
        <v>132</v>
      </c>
      <c r="C34" s="11"/>
      <c r="D34" s="11"/>
      <c r="E34" s="11"/>
      <c r="F34" s="11"/>
    </row>
    <row r="35" spans="2:6" ht="31.5" customHeight="1" x14ac:dyDescent="0.2">
      <c r="B35" s="11"/>
      <c r="C35" s="11"/>
      <c r="D35" s="11"/>
      <c r="E35" s="11"/>
      <c r="F35" s="11"/>
    </row>
    <row r="36" spans="2:6" ht="17" customHeight="1" x14ac:dyDescent="0.2">
      <c r="B36" s="11"/>
      <c r="C36" s="11"/>
      <c r="D36" s="11"/>
      <c r="E36" s="11"/>
      <c r="F36" s="11"/>
    </row>
    <row r="37" spans="2:6" hidden="1" x14ac:dyDescent="0.2"/>
    <row r="38" spans="2:6" ht="67" customHeight="1" x14ac:dyDescent="0.2">
      <c r="B38" s="18" t="s">
        <v>133</v>
      </c>
      <c r="C38" s="18" t="s">
        <v>134</v>
      </c>
      <c r="D38" s="18" t="s">
        <v>135</v>
      </c>
      <c r="E38" s="18" t="s">
        <v>136</v>
      </c>
      <c r="F38" s="18" t="s">
        <v>137</v>
      </c>
    </row>
    <row r="39" spans="2:6" x14ac:dyDescent="0.2">
      <c r="B39" s="51" t="s">
        <v>138</v>
      </c>
      <c r="C39" s="52">
        <f>1*$H$24</f>
        <v>357545</v>
      </c>
      <c r="D39" s="52">
        <f>2*$H$24</f>
        <v>715090</v>
      </c>
      <c r="E39" s="52">
        <f>3*$H$24</f>
        <v>1072635</v>
      </c>
      <c r="F39" s="52">
        <f>4*$H$24</f>
        <v>1430180</v>
      </c>
    </row>
    <row r="40" spans="2:6" x14ac:dyDescent="0.2">
      <c r="B40" s="51" t="s">
        <v>139</v>
      </c>
      <c r="C40" s="52">
        <f>1*$G$24</f>
        <v>160429.59</v>
      </c>
      <c r="D40" s="52">
        <f>2*$G$24</f>
        <v>320859.18</v>
      </c>
      <c r="E40" s="52">
        <f>3*$G$24</f>
        <v>481288.77</v>
      </c>
      <c r="F40" s="52">
        <f>4*$G$24</f>
        <v>641718.36</v>
      </c>
    </row>
    <row r="41" spans="2:6" x14ac:dyDescent="0.2">
      <c r="B41" s="39" t="s">
        <v>140</v>
      </c>
      <c r="C41" s="25">
        <f>C39-C40</f>
        <v>197115.41</v>
      </c>
      <c r="D41" s="25">
        <f>D39-D40</f>
        <v>394230.82</v>
      </c>
      <c r="E41" s="25">
        <f>E39-E40</f>
        <v>591346.23</v>
      </c>
      <c r="F41" s="25">
        <f>F39-F40</f>
        <v>788461.64</v>
      </c>
    </row>
    <row r="42" spans="2:6" x14ac:dyDescent="0.2">
      <c r="B42" s="51" t="s">
        <v>141</v>
      </c>
      <c r="C42" s="52">
        <f>C41*0.16/1.16</f>
        <v>27188.332413793105</v>
      </c>
      <c r="D42" s="52">
        <f>D41*0.16/1.16</f>
        <v>54376.66482758621</v>
      </c>
      <c r="E42" s="52">
        <f>E41*0.16/1.16</f>
        <v>81564.997241379315</v>
      </c>
      <c r="F42" s="52">
        <f>F41*0.16/1.16</f>
        <v>108753.32965517242</v>
      </c>
    </row>
    <row r="43" spans="2:6" s="92" customFormat="1" x14ac:dyDescent="0.2">
      <c r="B43" s="90" t="s">
        <v>142</v>
      </c>
      <c r="C43" s="91">
        <f>C41-C42</f>
        <v>169927.0775862069</v>
      </c>
      <c r="D43" s="91">
        <f>D41-D42</f>
        <v>339854.1551724138</v>
      </c>
      <c r="E43" s="91">
        <f>E41-E42</f>
        <v>509781.23275862064</v>
      </c>
      <c r="F43" s="91">
        <f>F41-F42</f>
        <v>679708.31034482759</v>
      </c>
    </row>
    <row r="44" spans="2:6" x14ac:dyDescent="0.2">
      <c r="B44" s="51" t="s">
        <v>143</v>
      </c>
      <c r="C44" s="52">
        <f>1*45000</f>
        <v>45000</v>
      </c>
      <c r="D44" s="52">
        <f>2*45000</f>
        <v>90000</v>
      </c>
      <c r="E44" s="52">
        <f>3*45000</f>
        <v>135000</v>
      </c>
      <c r="F44" s="52">
        <f>4*45000</f>
        <v>180000</v>
      </c>
    </row>
    <row r="45" spans="2:6" x14ac:dyDescent="0.2">
      <c r="B45" s="51" t="s">
        <v>144</v>
      </c>
      <c r="C45" s="53">
        <f>'New Team &amp; Overheads'!E24</f>
        <v>191000</v>
      </c>
      <c r="D45" s="53">
        <f>'New Team &amp; Overheads'!E24</f>
        <v>191000</v>
      </c>
      <c r="E45" s="53">
        <f>'New Team &amp; Overheads'!E24</f>
        <v>191000</v>
      </c>
      <c r="F45" s="53">
        <f>'New Team &amp; Overheads'!E24</f>
        <v>191000</v>
      </c>
    </row>
    <row r="46" spans="2:6" x14ac:dyDescent="0.2">
      <c r="B46" s="51" t="s">
        <v>145</v>
      </c>
      <c r="C46" s="53">
        <f>'New Team &amp; Overheads'!E33</f>
        <v>80000</v>
      </c>
      <c r="D46" s="53">
        <f>'New Team &amp; Overheads'!E33</f>
        <v>80000</v>
      </c>
      <c r="E46" s="53">
        <f>'New Team &amp; Overheads'!E33</f>
        <v>80000</v>
      </c>
      <c r="F46" s="53">
        <f>'New Team &amp; Overheads'!E33</f>
        <v>80000</v>
      </c>
    </row>
    <row r="47" spans="2:6" x14ac:dyDescent="0.2">
      <c r="B47" s="39" t="s">
        <v>146</v>
      </c>
      <c r="C47" s="89">
        <f>C43-C44-C45-C46</f>
        <v>-146072.9224137931</v>
      </c>
      <c r="D47" s="89">
        <f>D43-D44-D45-D46</f>
        <v>-21145.844827586203</v>
      </c>
      <c r="E47" s="25">
        <f>E43-E44-E45-E46</f>
        <v>103781.23275862064</v>
      </c>
      <c r="F47" s="25">
        <f>F43-F44-F45-F46</f>
        <v>228708.31034482759</v>
      </c>
    </row>
    <row r="48" spans="2:6" x14ac:dyDescent="0.2">
      <c r="B48" s="54" t="s">
        <v>147</v>
      </c>
      <c r="C48" s="55">
        <v>65000</v>
      </c>
      <c r="D48" s="55">
        <v>65000</v>
      </c>
      <c r="E48" s="55">
        <v>65000</v>
      </c>
      <c r="F48" s="55">
        <v>65000</v>
      </c>
    </row>
    <row r="49" spans="2:6" x14ac:dyDescent="0.2">
      <c r="B49" s="39" t="s">
        <v>148</v>
      </c>
      <c r="C49" s="93">
        <f>C43-C44-C45-C48</f>
        <v>-131072.9224137931</v>
      </c>
      <c r="D49" s="93">
        <f>D43-D44-D45-D48</f>
        <v>-6145.8448275862029</v>
      </c>
      <c r="E49" s="56">
        <f>E43-E44-E45-E48</f>
        <v>118781.23275862064</v>
      </c>
      <c r="F49" s="56">
        <f>F43-F44-F45-F48</f>
        <v>243708.31034482759</v>
      </c>
    </row>
    <row r="51" spans="2:6" ht="42" customHeight="1" x14ac:dyDescent="0.2">
      <c r="B51" s="11" t="s">
        <v>149</v>
      </c>
      <c r="C51" s="11"/>
      <c r="D51" s="11"/>
      <c r="E51" s="11"/>
      <c r="F51" s="11"/>
    </row>
    <row r="52" spans="2:6" ht="42" customHeight="1" x14ac:dyDescent="0.2">
      <c r="B52" s="11"/>
      <c r="C52" s="11"/>
      <c r="D52" s="11"/>
      <c r="E52" s="11"/>
      <c r="F52" s="11"/>
    </row>
    <row r="53" spans="2:6" ht="42" customHeight="1" x14ac:dyDescent="0.2">
      <c r="B53" s="11"/>
      <c r="C53" s="11"/>
      <c r="D53" s="11"/>
      <c r="E53" s="11"/>
      <c r="F53" s="11"/>
    </row>
    <row r="54" spans="2:6" ht="42" customHeight="1" x14ac:dyDescent="0.2">
      <c r="B54" s="11"/>
      <c r="C54" s="11"/>
      <c r="D54" s="11"/>
      <c r="E54" s="11"/>
      <c r="F54" s="11"/>
    </row>
  </sheetData>
  <mergeCells count="4">
    <mergeCell ref="B14:S15"/>
    <mergeCell ref="B29:J31"/>
    <mergeCell ref="B34:F36"/>
    <mergeCell ref="B51:F54"/>
  </mergeCell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H145"/>
  <sheetViews>
    <sheetView showGridLines="0" topLeftCell="A120" zoomScaleNormal="100" workbookViewId="0">
      <selection activeCell="A134" sqref="A134:XFD134"/>
    </sheetView>
  </sheetViews>
  <sheetFormatPr baseColWidth="10" defaultColWidth="8.6640625" defaultRowHeight="15" x14ac:dyDescent="0.2"/>
  <cols>
    <col min="1" max="1" width="3" customWidth="1"/>
    <col min="2" max="2" width="60.6640625" customWidth="1"/>
    <col min="3" max="7" width="13" customWidth="1"/>
  </cols>
  <sheetData>
    <row r="2" spans="2:8" ht="19.5" customHeight="1" x14ac:dyDescent="0.2">
      <c r="B2" s="13" t="s">
        <v>150</v>
      </c>
    </row>
    <row r="3" spans="2:8" ht="31.5" customHeight="1" x14ac:dyDescent="0.2">
      <c r="B3" s="14" t="s">
        <v>151</v>
      </c>
    </row>
    <row r="5" spans="2:8" x14ac:dyDescent="0.2">
      <c r="B5" s="17" t="s">
        <v>152</v>
      </c>
    </row>
    <row r="6" spans="2:8" ht="34.5" customHeight="1" x14ac:dyDescent="0.2">
      <c r="B6" s="10" t="s">
        <v>153</v>
      </c>
      <c r="C6" s="10"/>
      <c r="D6" s="10"/>
      <c r="E6" s="10"/>
      <c r="F6" s="10"/>
      <c r="G6" s="10"/>
    </row>
    <row r="7" spans="2:8" ht="34.5" customHeight="1" x14ac:dyDescent="0.2">
      <c r="B7" s="10"/>
      <c r="C7" s="10"/>
      <c r="D7" s="10"/>
      <c r="E7" s="10"/>
      <c r="F7" s="10"/>
      <c r="G7" s="10"/>
    </row>
    <row r="8" spans="2:8" ht="34.5" customHeight="1" x14ac:dyDescent="0.2">
      <c r="B8" s="10"/>
      <c r="C8" s="10"/>
      <c r="D8" s="10"/>
      <c r="E8" s="10"/>
      <c r="F8" s="10"/>
      <c r="G8" s="10"/>
    </row>
    <row r="10" spans="2:8" x14ac:dyDescent="0.2">
      <c r="B10" s="17" t="s">
        <v>154</v>
      </c>
    </row>
    <row r="11" spans="2:8" ht="66" customHeight="1" x14ac:dyDescent="0.2">
      <c r="B11" s="18" t="s">
        <v>155</v>
      </c>
      <c r="C11" s="18" t="s">
        <v>156</v>
      </c>
      <c r="D11" s="18" t="s">
        <v>157</v>
      </c>
      <c r="E11" s="18" t="s">
        <v>158</v>
      </c>
      <c r="F11" s="18" t="s">
        <v>159</v>
      </c>
      <c r="G11" s="18"/>
      <c r="H11" s="18"/>
    </row>
    <row r="12" spans="2:8" x14ac:dyDescent="0.2">
      <c r="B12" t="s">
        <v>160</v>
      </c>
      <c r="C12" s="20">
        <v>-205429.59460000001</v>
      </c>
      <c r="D12" s="19">
        <v>203122.5</v>
      </c>
      <c r="E12" s="20">
        <f>C12*-1</f>
        <v>205429.59460000001</v>
      </c>
      <c r="F12" s="40">
        <f>300000+C12+D12</f>
        <v>297692.90539999999</v>
      </c>
    </row>
    <row r="13" spans="2:8" x14ac:dyDescent="0.2">
      <c r="B13" s="21" t="s">
        <v>161</v>
      </c>
      <c r="C13" s="23">
        <f>-205429.59</f>
        <v>-205429.59</v>
      </c>
      <c r="D13" s="22">
        <v>203122.5</v>
      </c>
      <c r="E13" s="23">
        <f>E12+C13*-1</f>
        <v>410859.18460000004</v>
      </c>
      <c r="F13" s="57">
        <f>F12+C13+D13</f>
        <v>295385.81539999996</v>
      </c>
    </row>
    <row r="14" spans="2:8" x14ac:dyDescent="0.2">
      <c r="B14" t="s">
        <v>162</v>
      </c>
      <c r="C14" s="20">
        <f>-205429.59</f>
        <v>-205429.59</v>
      </c>
      <c r="D14" s="19">
        <v>203122.5</v>
      </c>
      <c r="E14" s="20">
        <f>E13+C14*-1</f>
        <v>616288.7746</v>
      </c>
      <c r="F14" s="40">
        <f>F13+C14+D14</f>
        <v>293078.7254</v>
      </c>
    </row>
    <row r="15" spans="2:8" x14ac:dyDescent="0.2">
      <c r="B15" s="21" t="s">
        <v>163</v>
      </c>
      <c r="C15" s="23">
        <f>-205429.59</f>
        <v>-205429.59</v>
      </c>
      <c r="D15" s="22">
        <v>203122.5</v>
      </c>
      <c r="E15" s="23">
        <f>E14+C15*-1</f>
        <v>821718.36459999997</v>
      </c>
      <c r="F15" s="57">
        <f>F14+C15+D15</f>
        <v>290771.63540000003</v>
      </c>
    </row>
    <row r="16" spans="2:8" x14ac:dyDescent="0.2">
      <c r="B16" t="s">
        <v>164</v>
      </c>
      <c r="C16" s="20">
        <f>-205429.59</f>
        <v>-205429.59</v>
      </c>
      <c r="D16" s="19">
        <v>203122.5</v>
      </c>
      <c r="E16" s="20">
        <f>E15+C16*-1</f>
        <v>1027147.9545999999</v>
      </c>
      <c r="F16" s="40">
        <f>F15+C16+D16</f>
        <v>288464.54540000006</v>
      </c>
    </row>
    <row r="17" spans="2:7" x14ac:dyDescent="0.2">
      <c r="B17" s="21" t="s">
        <v>165</v>
      </c>
      <c r="C17" s="23">
        <f>-205429.59</f>
        <v>-205429.59</v>
      </c>
      <c r="D17" s="22">
        <v>203122.5</v>
      </c>
      <c r="E17" s="23">
        <f>E16+C17*-1</f>
        <v>1232577.5445999999</v>
      </c>
      <c r="F17" s="57">
        <f>F16+C17+D17</f>
        <v>286157.45540000009</v>
      </c>
    </row>
    <row r="19" spans="2:7" ht="36" customHeight="1" x14ac:dyDescent="0.2">
      <c r="B19" s="12" t="s">
        <v>166</v>
      </c>
      <c r="C19" s="12"/>
      <c r="D19" s="12"/>
      <c r="E19" s="12"/>
      <c r="F19" s="12"/>
      <c r="G19" s="12"/>
    </row>
    <row r="20" spans="2:7" ht="36" customHeight="1" x14ac:dyDescent="0.2">
      <c r="B20" s="12"/>
      <c r="C20" s="12"/>
      <c r="D20" s="12"/>
      <c r="E20" s="12"/>
      <c r="F20" s="12"/>
      <c r="G20" s="12"/>
    </row>
    <row r="21" spans="2:7" ht="36" customHeight="1" x14ac:dyDescent="0.2">
      <c r="B21" s="12"/>
      <c r="C21" s="12"/>
      <c r="D21" s="12"/>
      <c r="E21" s="12"/>
      <c r="F21" s="12"/>
      <c r="G21" s="12"/>
    </row>
    <row r="23" spans="2:7" x14ac:dyDescent="0.2">
      <c r="B23" s="17" t="s">
        <v>167</v>
      </c>
    </row>
    <row r="24" spans="2:7" ht="27.75" customHeight="1" x14ac:dyDescent="0.2">
      <c r="B24" s="18" t="s">
        <v>133</v>
      </c>
      <c r="C24" s="18"/>
      <c r="D24" s="18" t="s">
        <v>168</v>
      </c>
      <c r="E24" s="18"/>
    </row>
    <row r="25" spans="2:7" x14ac:dyDescent="0.2">
      <c r="B25" t="s">
        <v>169</v>
      </c>
      <c r="E25" s="20">
        <v>357545</v>
      </c>
    </row>
    <row r="26" spans="2:7" x14ac:dyDescent="0.2">
      <c r="B26" t="s">
        <v>170</v>
      </c>
      <c r="E26" s="20">
        <v>203122</v>
      </c>
    </row>
    <row r="27" spans="2:7" x14ac:dyDescent="0.2">
      <c r="B27" s="39" t="s">
        <v>171</v>
      </c>
      <c r="E27" s="58">
        <f>E25/E26</f>
        <v>1.7602475359636081</v>
      </c>
    </row>
    <row r="29" spans="2:7" x14ac:dyDescent="0.2">
      <c r="B29" t="s">
        <v>172</v>
      </c>
      <c r="E29" s="50">
        <v>10.5</v>
      </c>
    </row>
    <row r="30" spans="2:7" x14ac:dyDescent="0.2">
      <c r="B30" t="s">
        <v>173</v>
      </c>
      <c r="E30" s="94">
        <f>'Production Capacity - 6 Ladies'!D29</f>
        <v>15.4579910135944</v>
      </c>
    </row>
    <row r="32" spans="2:7" ht="27" customHeight="1" x14ac:dyDescent="0.2">
      <c r="B32" s="12" t="s">
        <v>174</v>
      </c>
      <c r="C32" s="12"/>
      <c r="D32" s="12"/>
      <c r="E32" s="12"/>
      <c r="F32" s="12"/>
      <c r="G32" s="12"/>
    </row>
    <row r="33" spans="2:7" ht="27" customHeight="1" x14ac:dyDescent="0.2">
      <c r="B33" s="12"/>
      <c r="C33" s="12"/>
      <c r="D33" s="12"/>
      <c r="E33" s="12"/>
      <c r="F33" s="12"/>
      <c r="G33" s="12"/>
    </row>
    <row r="34" spans="2:7" ht="27" customHeight="1" x14ac:dyDescent="0.2">
      <c r="B34" s="12"/>
      <c r="C34" s="12"/>
      <c r="D34" s="12"/>
      <c r="E34" s="12"/>
      <c r="F34" s="12"/>
      <c r="G34" s="12"/>
    </row>
    <row r="36" spans="2:7" x14ac:dyDescent="0.2">
      <c r="B36" s="17" t="s">
        <v>175</v>
      </c>
    </row>
    <row r="37" spans="2:7" ht="67" customHeight="1" x14ac:dyDescent="0.2">
      <c r="B37" s="18" t="s">
        <v>176</v>
      </c>
      <c r="C37" s="18" t="s">
        <v>177</v>
      </c>
      <c r="D37" s="18" t="s">
        <v>178</v>
      </c>
      <c r="E37" s="18"/>
    </row>
    <row r="38" spans="2:7" x14ac:dyDescent="0.2">
      <c r="B38" t="s">
        <v>179</v>
      </c>
      <c r="C38" s="20">
        <v>1549362</v>
      </c>
      <c r="D38" s="20">
        <v>880198</v>
      </c>
    </row>
    <row r="39" spans="2:7" x14ac:dyDescent="0.2">
      <c r="B39" t="s">
        <v>180</v>
      </c>
      <c r="C39" s="20">
        <v>695195</v>
      </c>
      <c r="D39" s="20">
        <v>394780</v>
      </c>
    </row>
    <row r="40" spans="2:7" s="97" customFormat="1" x14ac:dyDescent="0.2">
      <c r="B40" s="95" t="s">
        <v>140</v>
      </c>
      <c r="C40" s="96">
        <f>C38-C39</f>
        <v>854167</v>
      </c>
      <c r="D40" s="96">
        <f>D38-D39</f>
        <v>485418</v>
      </c>
    </row>
    <row r="41" spans="2:7" x14ac:dyDescent="0.2">
      <c r="B41" t="s">
        <v>141</v>
      </c>
      <c r="C41" s="20">
        <f>C40*0.16/1.16</f>
        <v>117816.13793103449</v>
      </c>
      <c r="D41" s="20">
        <f>D40*0.16/1.16</f>
        <v>66954.206896551739</v>
      </c>
    </row>
    <row r="42" spans="2:7" s="97" customFormat="1" x14ac:dyDescent="0.2">
      <c r="B42" s="97" t="s">
        <v>142</v>
      </c>
      <c r="C42" s="98">
        <f>C40-C41</f>
        <v>736350.86206896557</v>
      </c>
      <c r="D42" s="98">
        <f>D40-D41</f>
        <v>418463.79310344823</v>
      </c>
    </row>
    <row r="43" spans="2:7" x14ac:dyDescent="0.2">
      <c r="B43" t="s">
        <v>181</v>
      </c>
      <c r="C43" s="20">
        <v>195000</v>
      </c>
      <c r="D43" s="20">
        <v>195000</v>
      </c>
    </row>
    <row r="44" spans="2:7" x14ac:dyDescent="0.2">
      <c r="B44" t="s">
        <v>182</v>
      </c>
      <c r="C44" s="53">
        <f>'New Team &amp; Overheads'!E24</f>
        <v>191000</v>
      </c>
      <c r="D44" s="53">
        <f>'New Team &amp; Overheads'!E24</f>
        <v>191000</v>
      </c>
    </row>
    <row r="45" spans="2:7" x14ac:dyDescent="0.2">
      <c r="B45" t="s">
        <v>183</v>
      </c>
      <c r="C45" s="53">
        <f>'New Team &amp; Overheads'!E33</f>
        <v>80000</v>
      </c>
      <c r="D45" s="53">
        <f>'New Team &amp; Overheads'!E33</f>
        <v>80000</v>
      </c>
    </row>
    <row r="46" spans="2:7" ht="16" x14ac:dyDescent="0.2">
      <c r="B46" s="26" t="s">
        <v>184</v>
      </c>
      <c r="C46" s="27">
        <f>C42-C43-C44-C45</f>
        <v>270350.86206896557</v>
      </c>
      <c r="D46" s="99">
        <f>D42-D43-D44-D45</f>
        <v>-47536.206896551768</v>
      </c>
    </row>
    <row r="47" spans="2:7" x14ac:dyDescent="0.2">
      <c r="B47" t="s">
        <v>185</v>
      </c>
      <c r="C47" s="20">
        <v>0</v>
      </c>
      <c r="D47" s="100">
        <f>4.333*160429.59-D39</f>
        <v>300361.41347000003</v>
      </c>
    </row>
    <row r="49" spans="2:7" ht="42" customHeight="1" x14ac:dyDescent="0.2">
      <c r="B49" s="10" t="s">
        <v>186</v>
      </c>
      <c r="C49" s="10"/>
      <c r="D49" s="10"/>
      <c r="E49" s="10"/>
      <c r="F49" s="10"/>
      <c r="G49" s="10"/>
    </row>
    <row r="50" spans="2:7" ht="42" customHeight="1" x14ac:dyDescent="0.2">
      <c r="B50" s="10"/>
      <c r="C50" s="10"/>
      <c r="D50" s="10"/>
      <c r="E50" s="10"/>
      <c r="F50" s="10"/>
      <c r="G50" s="10"/>
    </row>
    <row r="51" spans="2:7" ht="42" customHeight="1" x14ac:dyDescent="0.2">
      <c r="B51" s="10"/>
      <c r="C51" s="10"/>
      <c r="D51" s="10"/>
      <c r="E51" s="10"/>
      <c r="F51" s="10"/>
      <c r="G51" s="10"/>
    </row>
    <row r="52" spans="2:7" ht="42" customHeight="1" x14ac:dyDescent="0.2">
      <c r="B52" s="10"/>
      <c r="C52" s="10"/>
      <c r="D52" s="10"/>
      <c r="E52" s="10"/>
      <c r="F52" s="10"/>
      <c r="G52" s="10"/>
    </row>
    <row r="54" spans="2:7" x14ac:dyDescent="0.2">
      <c r="B54" s="17" t="s">
        <v>187</v>
      </c>
    </row>
    <row r="55" spans="2:7" ht="27.75" customHeight="1" x14ac:dyDescent="0.2">
      <c r="B55" s="18" t="s">
        <v>133</v>
      </c>
      <c r="C55" s="18"/>
      <c r="D55" s="18" t="s">
        <v>168</v>
      </c>
      <c r="E55" s="18"/>
    </row>
    <row r="56" spans="2:7" x14ac:dyDescent="0.2">
      <c r="B56" t="s">
        <v>188</v>
      </c>
      <c r="E56" s="19">
        <v>800000</v>
      </c>
    </row>
    <row r="57" spans="2:7" x14ac:dyDescent="0.2">
      <c r="B57" s="39" t="s">
        <v>189</v>
      </c>
      <c r="E57" s="59">
        <f>E56/160430</f>
        <v>4.9865985164869411</v>
      </c>
    </row>
    <row r="58" spans="2:7" x14ac:dyDescent="0.2">
      <c r="B58" t="s">
        <v>190</v>
      </c>
      <c r="E58" s="50">
        <f>E56/160430</f>
        <v>4.9865985164869411</v>
      </c>
    </row>
    <row r="60" spans="2:7" ht="34.5" customHeight="1" x14ac:dyDescent="0.2">
      <c r="B60" s="10" t="s">
        <v>191</v>
      </c>
      <c r="C60" s="10"/>
      <c r="D60" s="10"/>
      <c r="E60" s="10"/>
      <c r="F60" s="10"/>
      <c r="G60" s="10"/>
    </row>
    <row r="61" spans="2:7" ht="34.5" customHeight="1" x14ac:dyDescent="0.2">
      <c r="B61" s="10"/>
      <c r="C61" s="10"/>
      <c r="D61" s="10"/>
      <c r="E61" s="10"/>
      <c r="F61" s="10"/>
      <c r="G61" s="10"/>
    </row>
    <row r="62" spans="2:7" ht="34.5" customHeight="1" x14ac:dyDescent="0.2">
      <c r="B62" s="10"/>
      <c r="C62" s="10"/>
      <c r="D62" s="10"/>
      <c r="E62" s="10"/>
      <c r="F62" s="10"/>
      <c r="G62" s="10"/>
    </row>
    <row r="64" spans="2:7" x14ac:dyDescent="0.2">
      <c r="B64" s="17" t="s">
        <v>192</v>
      </c>
    </row>
    <row r="65" spans="2:7" ht="27" customHeight="1" x14ac:dyDescent="0.2">
      <c r="B65" s="11" t="s">
        <v>193</v>
      </c>
      <c r="C65" s="11"/>
      <c r="D65" s="11"/>
      <c r="E65" s="11"/>
      <c r="F65" s="11"/>
      <c r="G65" s="11"/>
    </row>
    <row r="66" spans="2:7" ht="27" customHeight="1" x14ac:dyDescent="0.2">
      <c r="B66" s="11"/>
      <c r="C66" s="11"/>
      <c r="D66" s="11"/>
      <c r="E66" s="11"/>
      <c r="F66" s="11"/>
      <c r="G66" s="11"/>
    </row>
    <row r="67" spans="2:7" ht="27" customHeight="1" x14ac:dyDescent="0.2">
      <c r="B67" s="11"/>
      <c r="C67" s="11"/>
      <c r="D67" s="11"/>
      <c r="E67" s="11"/>
      <c r="F67" s="11"/>
      <c r="G67" s="11"/>
    </row>
    <row r="69" spans="2:7" x14ac:dyDescent="0.2">
      <c r="B69" s="60" t="s">
        <v>194</v>
      </c>
      <c r="E69" s="61">
        <f>(('Starting Stock - Lorry &amp; Profit'!H24-'Starting Stock - Lorry &amp; Profit'!G24)/'Starting Stock - Lorry &amp; Profit'!H24)*(1-0.16/1.16)-45000/'Starting Stock - Lorry &amp; Profit'!H24</f>
        <v>0.34940239015007024</v>
      </c>
    </row>
    <row r="71" spans="2:7" ht="82" customHeight="1" x14ac:dyDescent="0.2">
      <c r="B71" s="18" t="s">
        <v>133</v>
      </c>
      <c r="C71" s="18" t="s">
        <v>195</v>
      </c>
      <c r="D71" s="18" t="s">
        <v>196</v>
      </c>
      <c r="E71" s="18" t="s">
        <v>197</v>
      </c>
      <c r="F71" s="18" t="s">
        <v>198</v>
      </c>
    </row>
    <row r="72" spans="2:7" x14ac:dyDescent="0.2">
      <c r="B72" s="39" t="s">
        <v>199</v>
      </c>
      <c r="C72" s="62">
        <v>300000</v>
      </c>
      <c r="D72" s="62">
        <v>300000</v>
      </c>
      <c r="E72" s="62">
        <v>500000</v>
      </c>
      <c r="F72" s="62">
        <v>500000</v>
      </c>
    </row>
    <row r="73" spans="2:7" x14ac:dyDescent="0.2">
      <c r="B73" t="s">
        <v>200</v>
      </c>
      <c r="C73" s="53">
        <f>'New Team &amp; Overheads'!E33</f>
        <v>80000</v>
      </c>
      <c r="D73" s="19">
        <v>65000</v>
      </c>
      <c r="E73" s="53">
        <f>'New Team &amp; Overheads'!E33</f>
        <v>80000</v>
      </c>
      <c r="F73" s="19">
        <v>65000</v>
      </c>
    </row>
    <row r="74" spans="2:7" x14ac:dyDescent="0.2">
      <c r="B74" t="s">
        <v>201</v>
      </c>
      <c r="C74" s="53">
        <f>'New Team &amp; Overheads'!E24</f>
        <v>191000</v>
      </c>
      <c r="D74" s="53">
        <f>'New Team &amp; Overheads'!E24</f>
        <v>191000</v>
      </c>
      <c r="E74" s="53">
        <f>'New Team &amp; Overheads'!E24</f>
        <v>191000</v>
      </c>
      <c r="F74" s="53">
        <f>'New Team &amp; Overheads'!E24</f>
        <v>191000</v>
      </c>
    </row>
    <row r="75" spans="2:7" x14ac:dyDescent="0.2">
      <c r="B75" s="39" t="s">
        <v>202</v>
      </c>
      <c r="C75" s="63">
        <f>(C72+C74+C73)/$E$69</f>
        <v>1634218.9295120516</v>
      </c>
      <c r="D75" s="63">
        <f>(D72+D74+D73)/$E$69</f>
        <v>1591288.4847788103</v>
      </c>
      <c r="E75" s="63">
        <f>(E72+E74+E73)/$E$69</f>
        <v>2206624.8592886021</v>
      </c>
      <c r="F75" s="63">
        <f>(F72+F74+F73)/$E$69</f>
        <v>2163694.414555361</v>
      </c>
    </row>
    <row r="76" spans="2:7" x14ac:dyDescent="0.2">
      <c r="B76" t="s">
        <v>203</v>
      </c>
      <c r="C76" s="64">
        <f>C75/'Starting Stock - Lorry &amp; Profit'!H24</f>
        <v>4.5706664322310528</v>
      </c>
      <c r="D76" s="64">
        <f>D75/'Starting Stock - Lorry &amp; Profit'!H24</f>
        <v>4.4505963858502016</v>
      </c>
      <c r="E76" s="64">
        <f>E75/'Starting Stock - Lorry &amp; Profit'!H24</f>
        <v>6.1716003839757292</v>
      </c>
      <c r="F76" s="64">
        <f>F75/'Starting Stock - Lorry &amp; Profit'!H24</f>
        <v>6.0515303375948788</v>
      </c>
    </row>
    <row r="77" spans="2:7" x14ac:dyDescent="0.2">
      <c r="B77" s="39" t="s">
        <v>204</v>
      </c>
      <c r="C77" s="56">
        <f>ROUNDUP(C76,0)</f>
        <v>5</v>
      </c>
      <c r="D77" s="56">
        <f>ROUNDUP(D76,0)</f>
        <v>5</v>
      </c>
      <c r="E77" s="56">
        <f>ROUNDUP(E76,0)</f>
        <v>7</v>
      </c>
      <c r="F77" s="56">
        <f>ROUNDUP(F76,0)</f>
        <v>7</v>
      </c>
    </row>
    <row r="78" spans="2:7" x14ac:dyDescent="0.2">
      <c r="B78" s="39" t="s">
        <v>205</v>
      </c>
      <c r="C78" s="40">
        <f>C75/26</f>
        <v>62854.574212001986</v>
      </c>
      <c r="D78" s="40">
        <f>D75/26</f>
        <v>61203.403260723469</v>
      </c>
      <c r="E78" s="40">
        <f>E75/26</f>
        <v>84870.186895715466</v>
      </c>
      <c r="F78" s="40">
        <f>F75/26</f>
        <v>83219.015944436964</v>
      </c>
    </row>
    <row r="79" spans="2:7" x14ac:dyDescent="0.2">
      <c r="B79" t="s">
        <v>206</v>
      </c>
      <c r="C79" s="65">
        <f>C78/33853.75</f>
        <v>1.8566502739578921</v>
      </c>
      <c r="D79" s="65">
        <f>D78/33853.75</f>
        <v>1.8078766240290505</v>
      </c>
      <c r="E79" s="65">
        <f>E78/33853.75</f>
        <v>2.5069656063424426</v>
      </c>
      <c r="F79" s="65">
        <f>F78/33853.75</f>
        <v>2.4581919564136014</v>
      </c>
    </row>
    <row r="81" spans="2:7" ht="33" customHeight="1" x14ac:dyDescent="0.2">
      <c r="B81" s="11" t="s">
        <v>207</v>
      </c>
      <c r="C81" s="11"/>
      <c r="D81" s="11"/>
      <c r="E81" s="11"/>
      <c r="F81" s="11"/>
      <c r="G81" s="11"/>
    </row>
    <row r="82" spans="2:7" ht="33" customHeight="1" x14ac:dyDescent="0.2">
      <c r="B82" s="11"/>
      <c r="C82" s="11"/>
      <c r="D82" s="11"/>
      <c r="E82" s="11"/>
      <c r="F82" s="11"/>
      <c r="G82" s="11"/>
    </row>
    <row r="83" spans="2:7" ht="33" customHeight="1" x14ac:dyDescent="0.2">
      <c r="B83" s="11"/>
      <c r="C83" s="11"/>
      <c r="D83" s="11"/>
      <c r="E83" s="11"/>
      <c r="F83" s="11"/>
      <c r="G83" s="11"/>
    </row>
    <row r="84" spans="2:7" ht="33" customHeight="1" x14ac:dyDescent="0.2">
      <c r="B84" s="11"/>
      <c r="C84" s="11"/>
      <c r="D84" s="11"/>
      <c r="E84" s="11"/>
      <c r="F84" s="11"/>
      <c r="G84" s="11"/>
    </row>
    <row r="85" spans="2:7" ht="33" customHeight="1" x14ac:dyDescent="0.2">
      <c r="B85" s="11"/>
      <c r="C85" s="11"/>
      <c r="D85" s="11"/>
      <c r="E85" s="11"/>
      <c r="F85" s="11"/>
      <c r="G85" s="11"/>
    </row>
    <row r="87" spans="2:7" x14ac:dyDescent="0.2">
      <c r="B87" s="17" t="s">
        <v>208</v>
      </c>
    </row>
    <row r="88" spans="2:7" ht="25.5" customHeight="1" x14ac:dyDescent="0.2">
      <c r="B88" s="11" t="s">
        <v>209</v>
      </c>
      <c r="C88" s="11"/>
      <c r="D88" s="11"/>
      <c r="E88" s="11"/>
      <c r="F88" s="11"/>
      <c r="G88" s="11"/>
    </row>
    <row r="89" spans="2:7" ht="25.5" customHeight="1" x14ac:dyDescent="0.2">
      <c r="B89" s="11"/>
      <c r="C89" s="11"/>
      <c r="D89" s="11"/>
      <c r="E89" s="11"/>
      <c r="F89" s="11"/>
      <c r="G89" s="11"/>
    </row>
    <row r="91" spans="2:7" ht="27.75" customHeight="1" x14ac:dyDescent="0.2">
      <c r="B91" s="18" t="s">
        <v>210</v>
      </c>
      <c r="C91" s="18"/>
      <c r="D91" s="18" t="s">
        <v>211</v>
      </c>
      <c r="E91" s="18" t="s">
        <v>212</v>
      </c>
    </row>
    <row r="92" spans="2:7" x14ac:dyDescent="0.2">
      <c r="B92" s="9" t="s">
        <v>213</v>
      </c>
      <c r="C92" s="9"/>
      <c r="D92" s="52">
        <v>3</v>
      </c>
      <c r="E92" s="52">
        <v>3</v>
      </c>
    </row>
    <row r="93" spans="2:7" x14ac:dyDescent="0.2">
      <c r="B93" s="8" t="s">
        <v>214</v>
      </c>
      <c r="C93" s="8"/>
      <c r="D93" s="66">
        <f>3*'Starting Stock - Lorry &amp; Profit'!F24</f>
        <v>48135</v>
      </c>
      <c r="E93" s="66">
        <f>3*'Starting Stock - Lorry &amp; Profit'!F24</f>
        <v>48135</v>
      </c>
    </row>
    <row r="94" spans="2:7" x14ac:dyDescent="0.2">
      <c r="B94" s="9" t="s">
        <v>215</v>
      </c>
      <c r="C94" s="9"/>
      <c r="D94" s="53">
        <f>'Starting Stock - Lorry &amp; Profit'!E39</f>
        <v>1072635</v>
      </c>
      <c r="E94" s="53">
        <f>'Starting Stock - Lorry &amp; Profit'!E39</f>
        <v>1072635</v>
      </c>
    </row>
    <row r="95" spans="2:7" x14ac:dyDescent="0.2">
      <c r="B95" s="8" t="s">
        <v>216</v>
      </c>
      <c r="C95" s="8"/>
      <c r="D95" s="66">
        <f>'Starting Stock - Lorry &amp; Profit'!E40</f>
        <v>481288.77</v>
      </c>
      <c r="E95" s="66">
        <f>'Starting Stock - Lorry &amp; Profit'!E40</f>
        <v>481288.77</v>
      </c>
    </row>
    <row r="96" spans="2:7" s="97" customFormat="1" x14ac:dyDescent="0.2">
      <c r="B96" s="101" t="s">
        <v>140</v>
      </c>
      <c r="C96" s="101"/>
      <c r="D96" s="102">
        <f>'Starting Stock - Lorry &amp; Profit'!E41</f>
        <v>591346.23</v>
      </c>
      <c r="E96" s="102">
        <f>'Starting Stock - Lorry &amp; Profit'!E41</f>
        <v>591346.23</v>
      </c>
    </row>
    <row r="97" spans="2:7" x14ac:dyDescent="0.2">
      <c r="B97" s="8" t="s">
        <v>217</v>
      </c>
      <c r="C97" s="8"/>
      <c r="D97" s="66">
        <f>'Starting Stock - Lorry &amp; Profit'!E42</f>
        <v>81564.997241379315</v>
      </c>
      <c r="E97" s="66">
        <f>'Starting Stock - Lorry &amp; Profit'!E42</f>
        <v>81564.997241379315</v>
      </c>
    </row>
    <row r="98" spans="2:7" x14ac:dyDescent="0.2">
      <c r="B98" s="9" t="s">
        <v>218</v>
      </c>
      <c r="C98" s="9"/>
      <c r="D98" s="53">
        <f>'Starting Stock - Lorry &amp; Profit'!E44</f>
        <v>135000</v>
      </c>
      <c r="E98" s="53">
        <f>'Starting Stock - Lorry &amp; Profit'!E44</f>
        <v>135000</v>
      </c>
    </row>
    <row r="99" spans="2:7" x14ac:dyDescent="0.2">
      <c r="B99" s="8" t="s">
        <v>219</v>
      </c>
      <c r="C99" s="8"/>
      <c r="D99" s="66">
        <f>'Starting Stock - Lorry &amp; Profit'!E45</f>
        <v>191000</v>
      </c>
      <c r="E99" s="66">
        <f>'Starting Stock - Lorry &amp; Profit'!E45</f>
        <v>191000</v>
      </c>
    </row>
    <row r="100" spans="2:7" x14ac:dyDescent="0.2">
      <c r="B100" s="9" t="s">
        <v>220</v>
      </c>
      <c r="C100" s="9"/>
      <c r="D100" s="53">
        <f>'Starting Stock - Lorry &amp; Profit'!E46</f>
        <v>80000</v>
      </c>
      <c r="E100" s="19">
        <v>65000</v>
      </c>
    </row>
    <row r="101" spans="2:7" s="97" customFormat="1" ht="16" x14ac:dyDescent="0.2">
      <c r="B101" s="103" t="s">
        <v>221</v>
      </c>
      <c r="C101" s="103"/>
      <c r="D101" s="104">
        <f>'Starting Stock - Lorry &amp; Profit'!E47</f>
        <v>103781.23275862064</v>
      </c>
      <c r="E101" s="104">
        <f>'Starting Stock - Lorry &amp; Profit'!E49</f>
        <v>118781.23275862064</v>
      </c>
    </row>
    <row r="103" spans="2:7" x14ac:dyDescent="0.2">
      <c r="B103" s="17" t="s">
        <v>222</v>
      </c>
    </row>
    <row r="104" spans="2:7" x14ac:dyDescent="0.2">
      <c r="B104" s="7" t="s">
        <v>223</v>
      </c>
      <c r="C104" s="7"/>
      <c r="D104" s="7"/>
      <c r="E104" s="7"/>
      <c r="F104" s="7"/>
      <c r="G104" s="7"/>
    </row>
    <row r="105" spans="2:7" ht="25.5" customHeight="1" x14ac:dyDescent="0.2">
      <c r="B105" s="6" t="s">
        <v>224</v>
      </c>
      <c r="C105" s="6"/>
      <c r="D105" s="6"/>
      <c r="E105" s="6"/>
      <c r="F105" s="6"/>
      <c r="G105" s="6"/>
    </row>
    <row r="106" spans="2:7" ht="25.5" customHeight="1" x14ac:dyDescent="0.2">
      <c r="B106" s="6"/>
      <c r="C106" s="6"/>
      <c r="D106" s="6"/>
      <c r="E106" s="6"/>
      <c r="F106" s="6"/>
      <c r="G106" s="6"/>
    </row>
    <row r="108" spans="2:7" x14ac:dyDescent="0.2">
      <c r="B108" s="7" t="s">
        <v>225</v>
      </c>
      <c r="C108" s="7"/>
      <c r="D108" s="7"/>
      <c r="E108" s="7"/>
      <c r="F108" s="7"/>
      <c r="G108" s="7"/>
    </row>
    <row r="109" spans="2:7" ht="25.5" customHeight="1" x14ac:dyDescent="0.2">
      <c r="B109" s="6" t="s">
        <v>226</v>
      </c>
      <c r="C109" s="6"/>
      <c r="D109" s="6"/>
      <c r="E109" s="6"/>
      <c r="F109" s="6"/>
      <c r="G109" s="6"/>
    </row>
    <row r="110" spans="2:7" ht="25.5" customHeight="1" x14ac:dyDescent="0.2">
      <c r="B110" s="6"/>
      <c r="C110" s="6"/>
      <c r="D110" s="6"/>
      <c r="E110" s="6"/>
      <c r="F110" s="6"/>
      <c r="G110" s="6"/>
    </row>
    <row r="112" spans="2:7" x14ac:dyDescent="0.2">
      <c r="B112" s="7" t="s">
        <v>227</v>
      </c>
      <c r="C112" s="7"/>
      <c r="D112" s="7"/>
      <c r="E112" s="7"/>
      <c r="F112" s="7"/>
      <c r="G112" s="7"/>
    </row>
    <row r="113" spans="2:7" ht="25.5" customHeight="1" x14ac:dyDescent="0.2">
      <c r="B113" s="6" t="s">
        <v>228</v>
      </c>
      <c r="C113" s="6"/>
      <c r="D113" s="6"/>
      <c r="E113" s="6"/>
      <c r="F113" s="6"/>
      <c r="G113" s="6"/>
    </row>
    <row r="114" spans="2:7" ht="25.5" customHeight="1" x14ac:dyDescent="0.2">
      <c r="B114" s="6"/>
      <c r="C114" s="6"/>
      <c r="D114" s="6"/>
      <c r="E114" s="6"/>
      <c r="F114" s="6"/>
      <c r="G114" s="6"/>
    </row>
    <row r="116" spans="2:7" x14ac:dyDescent="0.2">
      <c r="B116" s="7" t="s">
        <v>229</v>
      </c>
      <c r="C116" s="7"/>
      <c r="D116" s="7"/>
      <c r="E116" s="7"/>
      <c r="F116" s="7"/>
      <c r="G116" s="7"/>
    </row>
    <row r="117" spans="2:7" ht="25.5" customHeight="1" x14ac:dyDescent="0.2">
      <c r="B117" s="6" t="s">
        <v>230</v>
      </c>
      <c r="C117" s="6"/>
      <c r="D117" s="6"/>
      <c r="E117" s="6"/>
      <c r="F117" s="6"/>
      <c r="G117" s="6"/>
    </row>
    <row r="118" spans="2:7" ht="25.5" customHeight="1" x14ac:dyDescent="0.2">
      <c r="B118" s="6"/>
      <c r="C118" s="6"/>
      <c r="D118" s="6"/>
      <c r="E118" s="6"/>
      <c r="F118" s="6"/>
      <c r="G118" s="6"/>
    </row>
    <row r="120" spans="2:7" x14ac:dyDescent="0.2">
      <c r="B120" s="7" t="s">
        <v>231</v>
      </c>
      <c r="C120" s="7"/>
      <c r="D120" s="7"/>
      <c r="E120" s="7"/>
      <c r="F120" s="7"/>
      <c r="G120" s="7"/>
    </row>
    <row r="121" spans="2:7" ht="25.5" customHeight="1" x14ac:dyDescent="0.2">
      <c r="B121" s="6" t="s">
        <v>232</v>
      </c>
      <c r="C121" s="6"/>
      <c r="D121" s="6"/>
      <c r="E121" s="6"/>
      <c r="F121" s="6"/>
      <c r="G121" s="6"/>
    </row>
    <row r="122" spans="2:7" ht="25.5" customHeight="1" x14ac:dyDescent="0.2">
      <c r="B122" s="6"/>
      <c r="C122" s="6"/>
      <c r="D122" s="6"/>
      <c r="E122" s="6"/>
      <c r="F122" s="6"/>
      <c r="G122" s="6"/>
    </row>
    <row r="124" spans="2:7" x14ac:dyDescent="0.2">
      <c r="B124" s="7" t="s">
        <v>233</v>
      </c>
      <c r="C124" s="7"/>
      <c r="D124" s="7"/>
      <c r="E124" s="7"/>
      <c r="F124" s="7"/>
      <c r="G124" s="7"/>
    </row>
    <row r="125" spans="2:7" ht="25.5" customHeight="1" x14ac:dyDescent="0.2">
      <c r="B125" s="6" t="s">
        <v>234</v>
      </c>
      <c r="C125" s="6"/>
      <c r="D125" s="6"/>
      <c r="E125" s="6"/>
      <c r="F125" s="6"/>
      <c r="G125" s="6"/>
    </row>
    <row r="126" spans="2:7" ht="25.5" customHeight="1" x14ac:dyDescent="0.2">
      <c r="B126" s="6"/>
      <c r="C126" s="6"/>
      <c r="D126" s="6"/>
      <c r="E126" s="6"/>
      <c r="F126" s="6"/>
      <c r="G126" s="6"/>
    </row>
    <row r="129" spans="2:7" x14ac:dyDescent="0.2">
      <c r="B129" s="17" t="s">
        <v>235</v>
      </c>
    </row>
    <row r="130" spans="2:7" ht="21.75" customHeight="1" x14ac:dyDescent="0.2">
      <c r="B130" s="11" t="s">
        <v>236</v>
      </c>
      <c r="C130" s="11"/>
      <c r="D130" s="11"/>
      <c r="E130" s="11"/>
      <c r="F130" s="11"/>
      <c r="G130" s="11"/>
    </row>
    <row r="131" spans="2:7" ht="21.75" customHeight="1" x14ac:dyDescent="0.2">
      <c r="B131" s="11"/>
      <c r="C131" s="11"/>
      <c r="D131" s="11"/>
      <c r="E131" s="11"/>
      <c r="F131" s="11"/>
      <c r="G131" s="11"/>
    </row>
    <row r="132" spans="2:7" ht="21.75" customHeight="1" x14ac:dyDescent="0.2">
      <c r="B132" s="11"/>
      <c r="C132" s="11"/>
      <c r="D132" s="11"/>
      <c r="E132" s="11"/>
      <c r="F132" s="11"/>
      <c r="G132" s="11"/>
    </row>
    <row r="134" spans="2:7" ht="64" customHeight="1" x14ac:dyDescent="0.2">
      <c r="B134" s="18" t="s">
        <v>237</v>
      </c>
      <c r="C134" s="18" t="s">
        <v>238</v>
      </c>
      <c r="D134" s="18" t="s">
        <v>239</v>
      </c>
      <c r="E134" s="18" t="s">
        <v>240</v>
      </c>
    </row>
    <row r="135" spans="2:7" x14ac:dyDescent="0.2">
      <c r="B135" t="s">
        <v>241</v>
      </c>
      <c r="C135" s="53">
        <f>'Starting Stock - Lorry &amp; Profit'!E49</f>
        <v>118781.23275862064</v>
      </c>
      <c r="D135" s="19">
        <v>83334</v>
      </c>
      <c r="E135" s="19">
        <v>50000</v>
      </c>
    </row>
    <row r="136" spans="2:7" x14ac:dyDescent="0.2">
      <c r="B136" s="21" t="s">
        <v>242</v>
      </c>
      <c r="C136" s="66">
        <f>'Starting Stock - Lorry &amp; Profit'!E49</f>
        <v>118781.23275862064</v>
      </c>
      <c r="D136" s="22">
        <v>83333</v>
      </c>
      <c r="E136" s="22">
        <v>90000</v>
      </c>
    </row>
    <row r="137" spans="2:7" x14ac:dyDescent="0.2">
      <c r="B137" t="s">
        <v>243</v>
      </c>
      <c r="C137" s="53">
        <f>'Starting Stock - Lorry &amp; Profit'!E49</f>
        <v>118781.23275862064</v>
      </c>
      <c r="D137" s="19">
        <v>83333</v>
      </c>
      <c r="E137" s="19">
        <v>110000</v>
      </c>
    </row>
    <row r="138" spans="2:7" x14ac:dyDescent="0.2">
      <c r="B138" s="39" t="s">
        <v>244</v>
      </c>
      <c r="D138" s="25">
        <f>SUM(D135:D137)</f>
        <v>250000</v>
      </c>
      <c r="E138" s="25">
        <f>SUM(E135:E137)</f>
        <v>250000</v>
      </c>
    </row>
    <row r="140" spans="2:7" ht="25.5" customHeight="1" x14ac:dyDescent="0.2">
      <c r="B140" s="11" t="s">
        <v>245</v>
      </c>
      <c r="C140" s="11"/>
      <c r="D140" s="11"/>
      <c r="E140" s="11"/>
      <c r="F140" s="11"/>
      <c r="G140" s="11"/>
    </row>
    <row r="141" spans="2:7" ht="25.5" customHeight="1" x14ac:dyDescent="0.2">
      <c r="B141" s="11"/>
      <c r="C141" s="11"/>
      <c r="D141" s="11"/>
      <c r="E141" s="11"/>
      <c r="F141" s="11"/>
      <c r="G141" s="11"/>
    </row>
    <row r="142" spans="2:7" ht="25.5" customHeight="1" x14ac:dyDescent="0.2">
      <c r="B142" s="11"/>
      <c r="C142" s="11"/>
      <c r="D142" s="11"/>
      <c r="E142" s="11"/>
      <c r="F142" s="11"/>
      <c r="G142" s="11"/>
    </row>
    <row r="143" spans="2:7" ht="25.5" customHeight="1" x14ac:dyDescent="0.2">
      <c r="B143" s="11"/>
      <c r="C143" s="11"/>
      <c r="D143" s="11"/>
      <c r="E143" s="11"/>
      <c r="F143" s="11"/>
      <c r="G143" s="11"/>
    </row>
    <row r="144" spans="2:7" ht="25.5" customHeight="1" x14ac:dyDescent="0.2">
      <c r="B144" s="11"/>
      <c r="C144" s="11"/>
      <c r="D144" s="11"/>
      <c r="E144" s="11"/>
      <c r="F144" s="11"/>
      <c r="G144" s="11"/>
    </row>
    <row r="145" spans="2:7" ht="25.5" customHeight="1" x14ac:dyDescent="0.2">
      <c r="B145" s="11"/>
      <c r="C145" s="11"/>
      <c r="D145" s="11"/>
      <c r="E145" s="11"/>
      <c r="F145" s="11"/>
      <c r="G145" s="11"/>
    </row>
  </sheetData>
  <mergeCells count="32">
    <mergeCell ref="B130:G132"/>
    <mergeCell ref="B140:G145"/>
    <mergeCell ref="B117:G118"/>
    <mergeCell ref="B120:G120"/>
    <mergeCell ref="B121:G122"/>
    <mergeCell ref="B124:G124"/>
    <mergeCell ref="B125:G126"/>
    <mergeCell ref="B108:G108"/>
    <mergeCell ref="B109:G110"/>
    <mergeCell ref="B112:G112"/>
    <mergeCell ref="B113:G114"/>
    <mergeCell ref="B116:G116"/>
    <mergeCell ref="B99:C99"/>
    <mergeCell ref="B100:C100"/>
    <mergeCell ref="B101:C101"/>
    <mergeCell ref="B104:G104"/>
    <mergeCell ref="B105:G106"/>
    <mergeCell ref="B94:C94"/>
    <mergeCell ref="B95:C95"/>
    <mergeCell ref="B96:C96"/>
    <mergeCell ref="B97:C97"/>
    <mergeCell ref="B98:C98"/>
    <mergeCell ref="B65:G67"/>
    <mergeCell ref="B81:G85"/>
    <mergeCell ref="B88:G89"/>
    <mergeCell ref="B92:C92"/>
    <mergeCell ref="B93:C93"/>
    <mergeCell ref="B6:G8"/>
    <mergeCell ref="B19:G21"/>
    <mergeCell ref="B32:G34"/>
    <mergeCell ref="B49:G52"/>
    <mergeCell ref="B60:G62"/>
  </mergeCell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E36"/>
  <sheetViews>
    <sheetView showGridLines="0" zoomScaleNormal="100" workbookViewId="0">
      <selection activeCell="D25" sqref="D25"/>
    </sheetView>
  </sheetViews>
  <sheetFormatPr baseColWidth="10" defaultColWidth="8.6640625" defaultRowHeight="15" x14ac:dyDescent="0.2"/>
  <cols>
    <col min="1" max="1" width="3" customWidth="1"/>
    <col min="2" max="2" width="45" customWidth="1"/>
    <col min="3" max="4" width="16" customWidth="1"/>
    <col min="5" max="5" width="30" customWidth="1"/>
  </cols>
  <sheetData>
    <row r="2" spans="2:5" ht="19.5" customHeight="1" x14ac:dyDescent="0.2">
      <c r="B2" s="13" t="s">
        <v>246</v>
      </c>
    </row>
    <row r="3" spans="2:5" ht="36" customHeight="1" x14ac:dyDescent="0.2">
      <c r="B3" s="14" t="s">
        <v>247</v>
      </c>
    </row>
    <row r="5" spans="2:5" x14ac:dyDescent="0.2">
      <c r="B5" s="17" t="s">
        <v>248</v>
      </c>
    </row>
    <row r="6" spans="2:5" x14ac:dyDescent="0.2">
      <c r="B6" t="s">
        <v>249</v>
      </c>
      <c r="C6" s="19">
        <v>15</v>
      </c>
      <c r="E6" s="67"/>
    </row>
    <row r="7" spans="2:5" x14ac:dyDescent="0.2">
      <c r="B7" t="s">
        <v>250</v>
      </c>
      <c r="C7" s="19">
        <v>235</v>
      </c>
      <c r="E7" s="67" t="s">
        <v>251</v>
      </c>
    </row>
    <row r="8" spans="2:5" x14ac:dyDescent="0.2">
      <c r="B8" t="s">
        <v>252</v>
      </c>
      <c r="C8" s="68">
        <v>7.4</v>
      </c>
      <c r="E8" s="67" t="s">
        <v>253</v>
      </c>
    </row>
    <row r="9" spans="2:5" x14ac:dyDescent="0.2">
      <c r="B9" t="s">
        <v>254</v>
      </c>
      <c r="C9" s="19">
        <v>40654</v>
      </c>
      <c r="E9" s="67" t="s">
        <v>255</v>
      </c>
    </row>
    <row r="11" spans="2:5" x14ac:dyDescent="0.2">
      <c r="B11" s="39" t="s">
        <v>256</v>
      </c>
      <c r="C11" s="69">
        <f>C9/C7</f>
        <v>172.99574468085106</v>
      </c>
    </row>
    <row r="12" spans="2:5" ht="21.75" customHeight="1" x14ac:dyDescent="0.2">
      <c r="B12" s="12" t="s">
        <v>257</v>
      </c>
      <c r="C12" s="12"/>
      <c r="D12" s="12"/>
      <c r="E12" s="12"/>
    </row>
    <row r="13" spans="2:5" ht="21.75" customHeight="1" x14ac:dyDescent="0.2">
      <c r="B13" s="12"/>
      <c r="C13" s="12"/>
      <c r="D13" s="12"/>
      <c r="E13" s="12"/>
    </row>
    <row r="14" spans="2:5" ht="21.75" customHeight="1" x14ac:dyDescent="0.2">
      <c r="B14" s="12"/>
      <c r="C14" s="12"/>
      <c r="D14" s="12"/>
      <c r="E14" s="12"/>
    </row>
    <row r="16" spans="2:5" x14ac:dyDescent="0.2">
      <c r="B16" s="17" t="s">
        <v>258</v>
      </c>
    </row>
    <row r="17" spans="2:5" ht="27.75" customHeight="1" x14ac:dyDescent="0.2">
      <c r="B17" s="18" t="s">
        <v>133</v>
      </c>
      <c r="C17" s="18"/>
      <c r="D17" s="18" t="s">
        <v>168</v>
      </c>
      <c r="E17" s="18"/>
    </row>
    <row r="18" spans="2:5" x14ac:dyDescent="0.2">
      <c r="B18" t="s">
        <v>259</v>
      </c>
      <c r="D18" s="19">
        <v>26</v>
      </c>
    </row>
    <row r="19" spans="2:5" x14ac:dyDescent="0.2">
      <c r="B19" t="s">
        <v>260</v>
      </c>
      <c r="D19" s="20">
        <f>6*D18</f>
        <v>156</v>
      </c>
    </row>
    <row r="20" spans="2:5" x14ac:dyDescent="0.2">
      <c r="B20" s="39" t="s">
        <v>261</v>
      </c>
      <c r="D20" s="63">
        <f>D19*C11</f>
        <v>26987.336170212766</v>
      </c>
    </row>
    <row r="21" spans="2:5" x14ac:dyDescent="0.2">
      <c r="B21" t="s">
        <v>262</v>
      </c>
      <c r="D21" s="20">
        <f>6*6*C11</f>
        <v>6227.8468085106379</v>
      </c>
    </row>
    <row r="23" spans="2:5" x14ac:dyDescent="0.2">
      <c r="B23" s="17" t="s">
        <v>263</v>
      </c>
    </row>
    <row r="24" spans="2:5" ht="27.75" customHeight="1" x14ac:dyDescent="0.2">
      <c r="B24" s="18" t="s">
        <v>264</v>
      </c>
      <c r="C24" s="18"/>
      <c r="D24" s="18" t="s">
        <v>168</v>
      </c>
      <c r="E24" s="18"/>
    </row>
    <row r="25" spans="2:5" x14ac:dyDescent="0.2">
      <c r="B25" t="s">
        <v>265</v>
      </c>
      <c r="D25" s="20">
        <f>SUMPRODUCT(('Premium-Only Mix vs September'!$D$6:$D$21)*('Premium-Only Mix vs September'!$E$6:$E$21)*(('Premium-Only Mix vs September'!$J$6:$J$21)="KEPT"))</f>
        <v>30586</v>
      </c>
    </row>
    <row r="26" spans="2:5" x14ac:dyDescent="0.2">
      <c r="B26" s="39" t="s">
        <v>266</v>
      </c>
      <c r="D26" s="58">
        <f>D20/D25</f>
        <v>0.88234277676756578</v>
      </c>
    </row>
    <row r="28" spans="2:5" x14ac:dyDescent="0.2">
      <c r="B28" t="s">
        <v>267</v>
      </c>
      <c r="D28" s="20">
        <f>'Starting Stock - Lorry &amp; Profit'!F13</f>
        <v>16045</v>
      </c>
    </row>
    <row r="29" spans="2:5" x14ac:dyDescent="0.2">
      <c r="B29" s="39" t="s">
        <v>268</v>
      </c>
      <c r="D29" s="70">
        <f>D28/(6*C11)</f>
        <v>15.4579910135944</v>
      </c>
    </row>
    <row r="30" spans="2:5" x14ac:dyDescent="0.2">
      <c r="B30" t="s">
        <v>269</v>
      </c>
      <c r="D30" s="71">
        <f>'Starting Stock - Lorry &amp; Profit'!F27</f>
        <v>10.565809564309589</v>
      </c>
    </row>
    <row r="32" spans="2:5" ht="20.25" customHeight="1" x14ac:dyDescent="0.2">
      <c r="B32" s="10" t="s">
        <v>270</v>
      </c>
      <c r="C32" s="10"/>
      <c r="D32" s="10"/>
      <c r="E32" s="10"/>
    </row>
    <row r="33" spans="2:5" ht="20.25" customHeight="1" x14ac:dyDescent="0.2">
      <c r="B33" s="10"/>
      <c r="C33" s="10"/>
      <c r="D33" s="10"/>
      <c r="E33" s="10"/>
    </row>
    <row r="34" spans="2:5" ht="20.25" customHeight="1" x14ac:dyDescent="0.2">
      <c r="B34" s="10"/>
      <c r="C34" s="10"/>
      <c r="D34" s="10"/>
      <c r="E34" s="10"/>
    </row>
    <row r="35" spans="2:5" ht="20.25" customHeight="1" x14ac:dyDescent="0.2">
      <c r="B35" s="10"/>
      <c r="C35" s="10"/>
      <c r="D35" s="10"/>
      <c r="E35" s="10"/>
    </row>
    <row r="36" spans="2:5" ht="20.25" customHeight="1" x14ac:dyDescent="0.2">
      <c r="B36" s="10"/>
      <c r="C36" s="10"/>
      <c r="D36" s="10"/>
      <c r="E36" s="10"/>
    </row>
  </sheetData>
  <mergeCells count="2">
    <mergeCell ref="B12:E14"/>
    <mergeCell ref="B32:E36"/>
  </mergeCells>
  <pageMargins left="0.3" right="0.3" top="0.4" bottom="0.4"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E28"/>
  <sheetViews>
    <sheetView showGridLines="0" zoomScaleNormal="100" workbookViewId="0">
      <selection activeCell="C15" sqref="C15"/>
    </sheetView>
  </sheetViews>
  <sheetFormatPr baseColWidth="10" defaultColWidth="8.6640625" defaultRowHeight="15" x14ac:dyDescent="0.2"/>
  <cols>
    <col min="1" max="1" width="3" customWidth="1"/>
    <col min="2" max="2" width="40" customWidth="1"/>
    <col min="3" max="4" width="14" customWidth="1"/>
    <col min="5" max="5" width="30" customWidth="1"/>
  </cols>
  <sheetData>
    <row r="2" spans="2:5" ht="19.5" customHeight="1" x14ac:dyDescent="0.2">
      <c r="B2" s="13" t="s">
        <v>271</v>
      </c>
    </row>
    <row r="3" spans="2:5" ht="27.75" customHeight="1" x14ac:dyDescent="0.2">
      <c r="B3" s="14" t="s">
        <v>272</v>
      </c>
    </row>
    <row r="5" spans="2:5" x14ac:dyDescent="0.2">
      <c r="B5" s="17" t="s">
        <v>273</v>
      </c>
    </row>
    <row r="6" spans="2:5" x14ac:dyDescent="0.2">
      <c r="B6" t="s">
        <v>274</v>
      </c>
      <c r="C6" s="19">
        <v>200000</v>
      </c>
    </row>
    <row r="7" spans="2:5" x14ac:dyDescent="0.2">
      <c r="B7" t="s">
        <v>275</v>
      </c>
      <c r="C7" s="19">
        <v>100000</v>
      </c>
    </row>
    <row r="8" spans="2:5" x14ac:dyDescent="0.2">
      <c r="B8" s="39" t="s">
        <v>276</v>
      </c>
      <c r="C8" s="25">
        <f>SUM(C6:C7)</f>
        <v>300000</v>
      </c>
    </row>
    <row r="10" spans="2:5" x14ac:dyDescent="0.2">
      <c r="B10" s="17" t="s">
        <v>277</v>
      </c>
    </row>
    <row r="11" spans="2:5" ht="25.5" customHeight="1" x14ac:dyDescent="0.2">
      <c r="B11" s="18" t="s">
        <v>42</v>
      </c>
      <c r="C11" s="18"/>
      <c r="D11" s="18" t="s">
        <v>278</v>
      </c>
      <c r="E11" s="18"/>
    </row>
    <row r="12" spans="2:5" x14ac:dyDescent="0.2">
      <c r="B12" t="s">
        <v>279</v>
      </c>
      <c r="C12" s="20">
        <f>'Starting Stock - Lorry &amp; Profit'!G24</f>
        <v>160429.59</v>
      </c>
    </row>
    <row r="13" spans="2:5" x14ac:dyDescent="0.2">
      <c r="B13" s="21" t="s">
        <v>280</v>
      </c>
      <c r="C13" s="22">
        <v>45000</v>
      </c>
      <c r="D13" s="21"/>
    </row>
    <row r="14" spans="2:5" x14ac:dyDescent="0.2">
      <c r="B14" s="39" t="s">
        <v>281</v>
      </c>
      <c r="C14" s="25">
        <f>SUM(C12:C13)</f>
        <v>205429.59</v>
      </c>
    </row>
    <row r="15" spans="2:5" ht="16" x14ac:dyDescent="0.2">
      <c r="B15" s="26" t="s">
        <v>282</v>
      </c>
      <c r="C15" s="27">
        <f>C8-C14</f>
        <v>94570.41</v>
      </c>
    </row>
    <row r="16" spans="2:5" ht="21.75" customHeight="1" x14ac:dyDescent="0.2">
      <c r="B16" s="12" t="s">
        <v>283</v>
      </c>
      <c r="C16" s="12"/>
      <c r="D16" s="12"/>
      <c r="E16" s="12"/>
    </row>
    <row r="17" spans="2:5" ht="21.75" customHeight="1" x14ac:dyDescent="0.2">
      <c r="B17" s="12"/>
      <c r="C17" s="12"/>
      <c r="D17" s="12"/>
      <c r="E17" s="12"/>
    </row>
    <row r="18" spans="2:5" ht="21.75" customHeight="1" x14ac:dyDescent="0.2">
      <c r="B18" s="12"/>
      <c r="C18" s="12"/>
      <c r="D18" s="12"/>
      <c r="E18" s="12"/>
    </row>
    <row r="20" spans="2:5" x14ac:dyDescent="0.2">
      <c r="B20" s="17" t="s">
        <v>284</v>
      </c>
    </row>
    <row r="21" spans="2:5" ht="25.5" customHeight="1" x14ac:dyDescent="0.2">
      <c r="B21" s="18" t="s">
        <v>285</v>
      </c>
      <c r="C21" s="18" t="s">
        <v>286</v>
      </c>
      <c r="D21" s="18"/>
    </row>
    <row r="22" spans="2:5" ht="72" customHeight="1" x14ac:dyDescent="0.2">
      <c r="B22" s="72" t="s">
        <v>287</v>
      </c>
      <c r="C22" s="5" t="s">
        <v>288</v>
      </c>
      <c r="D22" s="5"/>
      <c r="E22" s="5"/>
    </row>
    <row r="23" spans="2:5" ht="87.75" customHeight="1" x14ac:dyDescent="0.2">
      <c r="B23" s="73" t="s">
        <v>289</v>
      </c>
      <c r="C23" s="4" t="s">
        <v>290</v>
      </c>
      <c r="D23" s="4"/>
      <c r="E23" s="4"/>
    </row>
    <row r="24" spans="2:5" ht="55.5" customHeight="1" x14ac:dyDescent="0.2">
      <c r="B24" s="72" t="s">
        <v>291</v>
      </c>
      <c r="C24" s="5" t="s">
        <v>292</v>
      </c>
      <c r="D24" s="5"/>
      <c r="E24" s="5"/>
    </row>
    <row r="25" spans="2:5" ht="55.5" customHeight="1" x14ac:dyDescent="0.2">
      <c r="B25" s="73" t="s">
        <v>293</v>
      </c>
      <c r="C25" s="4" t="s">
        <v>294</v>
      </c>
      <c r="D25" s="4"/>
      <c r="E25" s="4"/>
    </row>
    <row r="26" spans="2:5" ht="72" customHeight="1" x14ac:dyDescent="0.2">
      <c r="B26" s="72" t="s">
        <v>295</v>
      </c>
      <c r="C26" s="5" t="s">
        <v>296</v>
      </c>
      <c r="D26" s="5"/>
      <c r="E26" s="5"/>
    </row>
    <row r="27" spans="2:5" ht="55.5" customHeight="1" x14ac:dyDescent="0.2">
      <c r="B27" s="73" t="s">
        <v>297</v>
      </c>
      <c r="C27" s="4" t="s">
        <v>298</v>
      </c>
      <c r="D27" s="4"/>
      <c r="E27" s="4"/>
    </row>
    <row r="28" spans="2:5" ht="55.5" customHeight="1" x14ac:dyDescent="0.2">
      <c r="B28" s="72" t="s">
        <v>299</v>
      </c>
      <c r="C28" s="5" t="s">
        <v>300</v>
      </c>
      <c r="D28" s="5"/>
      <c r="E28" s="5"/>
    </row>
  </sheetData>
  <mergeCells count="8">
    <mergeCell ref="C26:E26"/>
    <mergeCell ref="C27:E27"/>
    <mergeCell ref="C28:E28"/>
    <mergeCell ref="B16:E18"/>
    <mergeCell ref="C22:E22"/>
    <mergeCell ref="C23:E23"/>
    <mergeCell ref="C24:E24"/>
    <mergeCell ref="C25:E25"/>
  </mergeCells>
  <pageMargins left="0.3" right="0.3" top="0.4" bottom="0.4"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F46"/>
  <sheetViews>
    <sheetView showGridLines="0" zoomScaleNormal="100" workbookViewId="0">
      <selection activeCell="G22" sqref="G22"/>
    </sheetView>
  </sheetViews>
  <sheetFormatPr baseColWidth="10" defaultColWidth="8.6640625" defaultRowHeight="15" x14ac:dyDescent="0.2"/>
  <cols>
    <col min="1" max="1" width="3" customWidth="1"/>
    <col min="2" max="2" width="42" customWidth="1"/>
    <col min="3" max="6" width="15" customWidth="1"/>
  </cols>
  <sheetData>
    <row r="2" spans="2:6" ht="19.5" customHeight="1" x14ac:dyDescent="0.2">
      <c r="B2" s="13" t="s">
        <v>301</v>
      </c>
    </row>
    <row r="3" spans="2:6" ht="39.75" customHeight="1" x14ac:dyDescent="0.2">
      <c r="B3" s="14" t="s">
        <v>302</v>
      </c>
    </row>
    <row r="5" spans="2:6" x14ac:dyDescent="0.2">
      <c r="B5" s="17" t="s">
        <v>303</v>
      </c>
    </row>
    <row r="6" spans="2:6" ht="27.75" customHeight="1" x14ac:dyDescent="0.2">
      <c r="B6" s="18" t="s">
        <v>304</v>
      </c>
      <c r="C6" s="18" t="s">
        <v>305</v>
      </c>
      <c r="D6" s="18" t="s">
        <v>306</v>
      </c>
      <c r="E6" s="18" t="s">
        <v>32</v>
      </c>
      <c r="F6" s="18"/>
    </row>
    <row r="7" spans="2:6" x14ac:dyDescent="0.2">
      <c r="B7" t="s">
        <v>307</v>
      </c>
      <c r="C7" s="19">
        <v>200000</v>
      </c>
      <c r="D7" s="43">
        <f>C7/C9</f>
        <v>0.66666666666666663</v>
      </c>
      <c r="E7" s="60" t="s">
        <v>308</v>
      </c>
    </row>
    <row r="8" spans="2:6" x14ac:dyDescent="0.2">
      <c r="B8" s="21" t="s">
        <v>309</v>
      </c>
      <c r="C8" s="22">
        <v>100000</v>
      </c>
      <c r="D8" s="46">
        <f>C8/C9</f>
        <v>0.33333333333333331</v>
      </c>
      <c r="E8" s="74" t="s">
        <v>310</v>
      </c>
    </row>
    <row r="9" spans="2:6" x14ac:dyDescent="0.2">
      <c r="B9" s="39" t="s">
        <v>311</v>
      </c>
      <c r="C9" s="25">
        <f>SUM(C7:C8)</f>
        <v>300000</v>
      </c>
    </row>
    <row r="11" spans="2:6" x14ac:dyDescent="0.2">
      <c r="B11" s="17" t="s">
        <v>312</v>
      </c>
    </row>
    <row r="12" spans="2:6" ht="27.75" customHeight="1" x14ac:dyDescent="0.2">
      <c r="B12" s="18" t="s">
        <v>313</v>
      </c>
      <c r="C12" s="18"/>
      <c r="D12" s="18" t="s">
        <v>314</v>
      </c>
      <c r="E12" s="18"/>
      <c r="F12" s="18"/>
    </row>
    <row r="13" spans="2:6" x14ac:dyDescent="0.2">
      <c r="B13" s="39" t="s">
        <v>315</v>
      </c>
      <c r="C13" s="75">
        <f>'Weekly Restock &amp; Monthly P&amp;L'!C46</f>
        <v>270350.86206896557</v>
      </c>
    </row>
    <row r="14" spans="2:6" x14ac:dyDescent="0.2">
      <c r="B14" t="s">
        <v>316</v>
      </c>
      <c r="C14" s="20">
        <f>C13*D14</f>
        <v>67587.715517241391</v>
      </c>
      <c r="D14" s="76">
        <v>0.25</v>
      </c>
    </row>
    <row r="15" spans="2:6" x14ac:dyDescent="0.2">
      <c r="B15" s="39" t="s">
        <v>317</v>
      </c>
      <c r="C15" s="25">
        <f>C13-C14</f>
        <v>202763.14655172417</v>
      </c>
    </row>
    <row r="17" spans="2:6" ht="21.75" customHeight="1" x14ac:dyDescent="0.2">
      <c r="B17" s="12" t="s">
        <v>318</v>
      </c>
      <c r="C17" s="12"/>
      <c r="D17" s="12"/>
      <c r="E17" s="12"/>
      <c r="F17" s="12"/>
    </row>
    <row r="18" spans="2:6" ht="21.75" customHeight="1" x14ac:dyDescent="0.2">
      <c r="B18" s="12"/>
      <c r="C18" s="12"/>
      <c r="D18" s="12"/>
      <c r="E18" s="12"/>
      <c r="F18" s="12"/>
    </row>
    <row r="19" spans="2:6" ht="21.75" customHeight="1" x14ac:dyDescent="0.2">
      <c r="B19" s="12"/>
      <c r="C19" s="12"/>
      <c r="D19" s="12"/>
      <c r="E19" s="12"/>
      <c r="F19" s="12"/>
    </row>
    <row r="21" spans="2:6" x14ac:dyDescent="0.2">
      <c r="B21" s="17" t="s">
        <v>319</v>
      </c>
    </row>
    <row r="22" spans="2:6" ht="27.75" customHeight="1" x14ac:dyDescent="0.2">
      <c r="B22" s="18" t="s">
        <v>320</v>
      </c>
      <c r="C22" s="18" t="s">
        <v>321</v>
      </c>
      <c r="D22" s="18" t="s">
        <v>322</v>
      </c>
      <c r="E22" s="18" t="s">
        <v>323</v>
      </c>
      <c r="F22" s="18"/>
    </row>
    <row r="23" spans="2:6" ht="48" customHeight="1" x14ac:dyDescent="0.2">
      <c r="B23" s="51" t="s">
        <v>324</v>
      </c>
      <c r="C23" s="43">
        <v>0.66700000000000004</v>
      </c>
      <c r="D23" s="43">
        <v>0.33300000000000002</v>
      </c>
      <c r="E23" s="77" t="s">
        <v>325</v>
      </c>
    </row>
    <row r="24" spans="2:6" ht="48" customHeight="1" x14ac:dyDescent="0.2">
      <c r="B24" s="24" t="s">
        <v>326</v>
      </c>
      <c r="C24" s="78">
        <v>0.7</v>
      </c>
      <c r="D24" s="78">
        <v>0.3</v>
      </c>
      <c r="E24" s="79" t="s">
        <v>327</v>
      </c>
    </row>
    <row r="25" spans="2:6" ht="48" customHeight="1" x14ac:dyDescent="0.2">
      <c r="B25" s="51" t="s">
        <v>328</v>
      </c>
      <c r="C25" s="43">
        <v>0.5</v>
      </c>
      <c r="D25" s="43">
        <v>0.5</v>
      </c>
      <c r="E25" s="77" t="s">
        <v>329</v>
      </c>
    </row>
    <row r="28" spans="2:6" x14ac:dyDescent="0.2">
      <c r="B28" s="17" t="s">
        <v>330</v>
      </c>
    </row>
    <row r="29" spans="2:6" ht="15" customHeight="1" x14ac:dyDescent="0.2">
      <c r="B29" s="39" t="s">
        <v>331</v>
      </c>
      <c r="C29" s="76">
        <v>0.7</v>
      </c>
      <c r="D29" s="12" t="s">
        <v>332</v>
      </c>
      <c r="E29" s="12"/>
      <c r="F29" s="12"/>
    </row>
    <row r="30" spans="2:6" x14ac:dyDescent="0.2">
      <c r="B30" s="39" t="s">
        <v>333</v>
      </c>
      <c r="C30" s="43">
        <f>1-C29</f>
        <v>0.30000000000000004</v>
      </c>
      <c r="D30" s="12"/>
      <c r="E30" s="12"/>
      <c r="F30" s="12"/>
    </row>
    <row r="32" spans="2:6" ht="27.75" customHeight="1" x14ac:dyDescent="0.2">
      <c r="B32" s="18" t="s">
        <v>176</v>
      </c>
      <c r="C32" s="18"/>
      <c r="D32" s="18" t="s">
        <v>314</v>
      </c>
      <c r="E32" s="18"/>
    </row>
    <row r="33" spans="2:6" x14ac:dyDescent="0.2">
      <c r="B33" t="s">
        <v>334</v>
      </c>
      <c r="C33" s="20">
        <f>C14</f>
        <v>67587.715517241391</v>
      </c>
    </row>
    <row r="34" spans="2:6" x14ac:dyDescent="0.2">
      <c r="B34" t="s">
        <v>335</v>
      </c>
      <c r="C34" s="20">
        <f>C15*C29</f>
        <v>141934.2025862069</v>
      </c>
    </row>
    <row r="35" spans="2:6" x14ac:dyDescent="0.2">
      <c r="B35" t="s">
        <v>336</v>
      </c>
      <c r="C35" s="20">
        <f>C15*C30</f>
        <v>60828.943965517261</v>
      </c>
    </row>
    <row r="36" spans="2:6" x14ac:dyDescent="0.2">
      <c r="B36" t="s">
        <v>337</v>
      </c>
      <c r="C36" s="53">
        <f>'New Team &amp; Overheads'!E33</f>
        <v>80000</v>
      </c>
    </row>
    <row r="37" spans="2:6" ht="16" x14ac:dyDescent="0.2">
      <c r="B37" s="26" t="s">
        <v>338</v>
      </c>
      <c r="C37" s="27">
        <f>C34+C36</f>
        <v>221934.2025862069</v>
      </c>
    </row>
    <row r="38" spans="2:6" ht="16" x14ac:dyDescent="0.2">
      <c r="B38" s="26" t="s">
        <v>339</v>
      </c>
      <c r="C38" s="27">
        <f>C35</f>
        <v>60828.943965517261</v>
      </c>
    </row>
    <row r="41" spans="2:6" ht="27.75" customHeight="1" x14ac:dyDescent="0.2">
      <c r="B41" s="10" t="s">
        <v>340</v>
      </c>
      <c r="C41" s="10"/>
      <c r="D41" s="10"/>
      <c r="E41" s="10"/>
      <c r="F41" s="10"/>
    </row>
    <row r="42" spans="2:6" ht="27.75" customHeight="1" x14ac:dyDescent="0.2">
      <c r="B42" s="10"/>
      <c r="C42" s="10"/>
      <c r="D42" s="10"/>
      <c r="E42" s="10"/>
      <c r="F42" s="10"/>
    </row>
    <row r="43" spans="2:6" ht="27.75" customHeight="1" x14ac:dyDescent="0.2">
      <c r="B43" s="10"/>
      <c r="C43" s="10"/>
      <c r="D43" s="10"/>
      <c r="E43" s="10"/>
      <c r="F43" s="10"/>
    </row>
    <row r="44" spans="2:6" ht="27.75" customHeight="1" x14ac:dyDescent="0.2">
      <c r="B44" s="10"/>
      <c r="C44" s="10"/>
      <c r="D44" s="10"/>
      <c r="E44" s="10"/>
      <c r="F44" s="10"/>
    </row>
    <row r="45" spans="2:6" ht="27.75" customHeight="1" x14ac:dyDescent="0.2">
      <c r="B45" s="10"/>
      <c r="C45" s="10"/>
      <c r="D45" s="10"/>
      <c r="E45" s="10"/>
      <c r="F45" s="10"/>
    </row>
    <row r="46" spans="2:6" ht="27.75" customHeight="1" x14ac:dyDescent="0.2">
      <c r="B46" s="10"/>
      <c r="C46" s="10"/>
      <c r="D46" s="10"/>
      <c r="E46" s="10"/>
      <c r="F46" s="10"/>
    </row>
  </sheetData>
  <mergeCells count="3">
    <mergeCell ref="B17:F19"/>
    <mergeCell ref="D29:F30"/>
    <mergeCell ref="B41:F46"/>
  </mergeCells>
  <pageMargins left="0.3" right="0.3" top="0.4" bottom="0.4"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N78"/>
  <sheetViews>
    <sheetView showGridLines="0" tabSelected="1" zoomScaleNormal="100" workbookViewId="0">
      <selection activeCell="C52" sqref="C52"/>
    </sheetView>
  </sheetViews>
  <sheetFormatPr baseColWidth="10" defaultColWidth="8.6640625" defaultRowHeight="15" x14ac:dyDescent="0.2"/>
  <cols>
    <col min="1" max="1" width="3" customWidth="1"/>
    <col min="2" max="2" width="16.83203125" customWidth="1"/>
    <col min="3" max="14" width="12" customWidth="1"/>
  </cols>
  <sheetData>
    <row r="2" spans="2:14" ht="19.5" customHeight="1" x14ac:dyDescent="0.2">
      <c r="B2" s="13" t="s">
        <v>341</v>
      </c>
    </row>
    <row r="3" spans="2:14" ht="21.75" customHeight="1" x14ac:dyDescent="0.2">
      <c r="B3" s="14" t="s">
        <v>342</v>
      </c>
    </row>
    <row r="5" spans="2:14" x14ac:dyDescent="0.2">
      <c r="B5" s="17" t="s">
        <v>343</v>
      </c>
    </row>
    <row r="6" spans="2:14" ht="30" customHeight="1" x14ac:dyDescent="0.2">
      <c r="B6" s="3" t="s">
        <v>344</v>
      </c>
      <c r="C6" s="3"/>
      <c r="D6" s="3"/>
      <c r="E6" s="3" t="s">
        <v>345</v>
      </c>
      <c r="F6" s="3"/>
      <c r="G6" s="3"/>
      <c r="H6" s="3" t="s">
        <v>346</v>
      </c>
      <c r="I6" s="3"/>
      <c r="J6" s="3"/>
      <c r="K6" s="3" t="s">
        <v>347</v>
      </c>
      <c r="L6" s="3"/>
      <c r="M6" s="3"/>
    </row>
    <row r="7" spans="2:14" ht="21.75" customHeight="1" x14ac:dyDescent="0.2">
      <c r="B7" s="2">
        <f>'Starting Stock - Lorry &amp; Profit'!E49</f>
        <v>118781.23275862064</v>
      </c>
      <c r="C7" s="2"/>
      <c r="D7" s="2"/>
      <c r="E7" s="1">
        <f>('New Team &amp; Overheads'!E24+65000)/('Weekly Restock &amp; Monthly P&amp;L'!E69*'Starting Stock - Lorry &amp; Profit'!H24)</f>
        <v>2.0491954582331862</v>
      </c>
      <c r="F7" s="1"/>
      <c r="G7" s="1"/>
      <c r="H7" s="81">
        <f>'Weekly Restock &amp; Monthly P&amp;L'!D77</f>
        <v>5</v>
      </c>
      <c r="I7" s="81"/>
      <c r="J7" s="81"/>
      <c r="K7" s="82">
        <f>'Capital, Cash Flow &amp; Start'!C15</f>
        <v>94570.41</v>
      </c>
      <c r="L7" s="82"/>
      <c r="M7" s="82"/>
    </row>
    <row r="8" spans="2:14" ht="21.75" customHeight="1" x14ac:dyDescent="0.2">
      <c r="B8" s="2"/>
      <c r="C8" s="2"/>
      <c r="D8" s="2"/>
      <c r="E8" s="1"/>
      <c r="F8" s="1"/>
      <c r="G8" s="1"/>
      <c r="H8" s="81"/>
      <c r="I8" s="81"/>
      <c r="J8" s="81"/>
      <c r="K8" s="82"/>
      <c r="L8" s="82"/>
      <c r="M8" s="82"/>
    </row>
    <row r="10" spans="2:14" ht="25.5" customHeight="1" x14ac:dyDescent="0.2">
      <c r="B10" s="11" t="s">
        <v>348</v>
      </c>
      <c r="C10" s="11"/>
      <c r="D10" s="11"/>
      <c r="E10" s="11"/>
      <c r="F10" s="11"/>
      <c r="G10" s="11"/>
      <c r="H10" s="11"/>
      <c r="I10" s="11"/>
      <c r="J10" s="11"/>
      <c r="K10" s="11"/>
      <c r="L10" s="11"/>
      <c r="M10" s="11"/>
      <c r="N10" s="11"/>
    </row>
    <row r="11" spans="2:14" ht="25.5" customHeight="1" x14ac:dyDescent="0.2">
      <c r="B11" s="11"/>
      <c r="C11" s="11"/>
      <c r="D11" s="11"/>
      <c r="E11" s="11"/>
      <c r="F11" s="11"/>
      <c r="G11" s="11"/>
      <c r="H11" s="11"/>
      <c r="I11" s="11"/>
      <c r="J11" s="11"/>
      <c r="K11" s="11"/>
      <c r="L11" s="11"/>
      <c r="M11" s="11"/>
      <c r="N11" s="11"/>
    </row>
    <row r="13" spans="2:14" x14ac:dyDescent="0.2">
      <c r="B13" s="17" t="s">
        <v>349</v>
      </c>
    </row>
    <row r="32" spans="2:2" x14ac:dyDescent="0.2">
      <c r="B32" s="17" t="s">
        <v>350</v>
      </c>
    </row>
    <row r="33" spans="2:3" x14ac:dyDescent="0.2">
      <c r="B33" t="s">
        <v>351</v>
      </c>
      <c r="C33" t="s">
        <v>352</v>
      </c>
    </row>
    <row r="34" spans="2:3" x14ac:dyDescent="0.2">
      <c r="B34" t="s">
        <v>353</v>
      </c>
      <c r="C34" s="20">
        <f>'New Team &amp; Overheads'!E11</f>
        <v>125000</v>
      </c>
    </row>
    <row r="35" spans="2:3" x14ac:dyDescent="0.2">
      <c r="B35" t="s">
        <v>354</v>
      </c>
      <c r="C35" s="20">
        <f>'New Team &amp; Overheads'!E22</f>
        <v>66000</v>
      </c>
    </row>
    <row r="36" spans="2:3" x14ac:dyDescent="0.2">
      <c r="B36" t="s">
        <v>355</v>
      </c>
      <c r="C36" s="20">
        <f>65000</f>
        <v>65000</v>
      </c>
    </row>
    <row r="50" spans="2:3" x14ac:dyDescent="0.2">
      <c r="B50" s="17" t="s">
        <v>356</v>
      </c>
    </row>
    <row r="51" spans="2:3" ht="32" x14ac:dyDescent="0.2">
      <c r="B51" t="s">
        <v>357</v>
      </c>
      <c r="C51" s="80" t="s">
        <v>358</v>
      </c>
    </row>
    <row r="52" spans="2:3" x14ac:dyDescent="0.2">
      <c r="B52" t="s">
        <v>359</v>
      </c>
      <c r="C52" s="20">
        <f>'Weekly Restock &amp; Monthly P&amp;L'!C78</f>
        <v>62854.574212001986</v>
      </c>
    </row>
    <row r="53" spans="2:3" x14ac:dyDescent="0.2">
      <c r="B53" t="s">
        <v>360</v>
      </c>
      <c r="C53" s="20">
        <f>'Weekly Restock &amp; Monthly P&amp;L'!D78</f>
        <v>61203.403260723469</v>
      </c>
    </row>
    <row r="54" spans="2:3" x14ac:dyDescent="0.2">
      <c r="B54" t="s">
        <v>361</v>
      </c>
      <c r="C54" s="20">
        <f>'Weekly Restock &amp; Monthly P&amp;L'!E78</f>
        <v>84870.186895715466</v>
      </c>
    </row>
    <row r="55" spans="2:3" x14ac:dyDescent="0.2">
      <c r="B55" t="s">
        <v>362</v>
      </c>
      <c r="C55" s="20">
        <f>'Weekly Restock &amp; Monthly P&amp;L'!F78</f>
        <v>83219.015944436964</v>
      </c>
    </row>
    <row r="77" spans="2:14" ht="18" customHeight="1" x14ac:dyDescent="0.2">
      <c r="B77" s="11" t="s">
        <v>363</v>
      </c>
      <c r="C77" s="11"/>
      <c r="D77" s="11"/>
      <c r="E77" s="11"/>
      <c r="F77" s="11"/>
      <c r="G77" s="11"/>
      <c r="H77" s="11"/>
      <c r="I77" s="11"/>
      <c r="J77" s="11"/>
      <c r="K77" s="11"/>
      <c r="L77" s="11"/>
      <c r="M77" s="11"/>
      <c r="N77" s="11"/>
    </row>
    <row r="78" spans="2:14" ht="18" customHeight="1" x14ac:dyDescent="0.2">
      <c r="B78" s="11"/>
      <c r="C78" s="11"/>
      <c r="D78" s="11"/>
      <c r="E78" s="11"/>
      <c r="F78" s="11"/>
      <c r="G78" s="11"/>
      <c r="H78" s="11"/>
      <c r="I78" s="11"/>
      <c r="J78" s="11"/>
      <c r="K78" s="11"/>
      <c r="L78" s="11"/>
      <c r="M78" s="11"/>
      <c r="N78" s="11"/>
    </row>
  </sheetData>
  <mergeCells count="10">
    <mergeCell ref="B10:N11"/>
    <mergeCell ref="B77:N78"/>
    <mergeCell ref="B6:D6"/>
    <mergeCell ref="E6:G6"/>
    <mergeCell ref="H6:J6"/>
    <mergeCell ref="K6:M6"/>
    <mergeCell ref="B7:D8"/>
    <mergeCell ref="E7:G8"/>
    <mergeCell ref="H7:J8"/>
    <mergeCell ref="K7:M8"/>
  </mergeCells>
  <pageMargins left="0.3" right="0.3" top="0.4" bottom="0.4" header="0.511811023622047" footer="0.511811023622047"/>
  <pageSetup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 Me</vt:lpstr>
      <vt:lpstr>New Team &amp; Overheads</vt:lpstr>
      <vt:lpstr>Premium-Only Mix vs September</vt:lpstr>
      <vt:lpstr>Starting Stock - Lorry &amp; Profit</vt:lpstr>
      <vt:lpstr>Weekly Restock &amp; Monthly P&amp;L</vt:lpstr>
      <vt:lpstr>Production Capacity - 6 Ladies</vt:lpstr>
      <vt:lpstr>Capital, Cash Flow &amp; Start</vt:lpstr>
      <vt:lpstr>Profit Sharing Model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1</cp:revision>
  <dcterms:created xsi:type="dcterms:W3CDTF">2026-09-30T07:03:52Z</dcterms:created>
  <dcterms:modified xsi:type="dcterms:W3CDTF">2026-09-30T09:39:44Z</dcterms:modified>
  <dc:language>en-US</dc:language>
</cp:coreProperties>
</file>